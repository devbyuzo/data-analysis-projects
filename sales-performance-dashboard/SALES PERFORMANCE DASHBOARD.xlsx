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rs Onuoha\Desktop\Uzo's Workspace\Data Analysis Portfolio\"/>
    </mc:Choice>
  </mc:AlternateContent>
  <xr:revisionPtr revIDLastSave="0" documentId="13_ncr:1_{845C60F4-3299-4B5E-B813-D3D816F31A55}" xr6:coauthVersionLast="47" xr6:coauthVersionMax="47" xr10:uidLastSave="{00000000-0000-0000-0000-000000000000}"/>
  <bookViews>
    <workbookView xWindow="-120" yWindow="-120" windowWidth="20730" windowHeight="11760" activeTab="3" xr2:uid="{340A0997-9E56-4424-B32D-138189D3C6E1}"/>
  </bookViews>
  <sheets>
    <sheet name="Raw_Data" sheetId="1" r:id="rId1"/>
    <sheet name="Analysis" sheetId="3" r:id="rId2"/>
    <sheet name="Dashboard" sheetId="6" r:id="rId3"/>
    <sheet name="KPI CARD" sheetId="7" r:id="rId4"/>
  </sheets>
  <definedNames>
    <definedName name="Slicer_Months__Date">#N/A</definedName>
    <definedName name="Slicer_Product">#N/A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4" i="7" l="1"/>
  <c r="J23"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6" i="7"/>
  <c r="G25" i="7"/>
  <c r="G24" i="7"/>
  <c r="G23" i="7"/>
  <c r="G22" i="7"/>
  <c r="G21" i="7"/>
  <c r="G20" i="7"/>
  <c r="G19" i="7"/>
  <c r="G18" i="7"/>
  <c r="J22" i="7"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alcChain>
</file>

<file path=xl/sharedStrings.xml><?xml version="1.0" encoding="utf-8"?>
<sst xmlns="http://schemas.openxmlformats.org/spreadsheetml/2006/main" count="354" uniqueCount="44">
  <si>
    <t>Date</t>
  </si>
  <si>
    <t>Product</t>
  </si>
  <si>
    <t>Region</t>
  </si>
  <si>
    <t>Salesperson</t>
  </si>
  <si>
    <t>Units Sold</t>
  </si>
  <si>
    <t>Unit Price</t>
  </si>
  <si>
    <t>Revenue</t>
  </si>
  <si>
    <t>Laptop</t>
  </si>
  <si>
    <t>Lagos</t>
  </si>
  <si>
    <t>Tunde</t>
  </si>
  <si>
    <t>Phone</t>
  </si>
  <si>
    <t>Abuja</t>
  </si>
  <si>
    <t>Ada</t>
  </si>
  <si>
    <t>Tablet</t>
  </si>
  <si>
    <t>Port Harcourt</t>
  </si>
  <si>
    <t>Musa</t>
  </si>
  <si>
    <t>Airpods</t>
  </si>
  <si>
    <t>Smart watch</t>
  </si>
  <si>
    <t>Bluetooth speaker</t>
  </si>
  <si>
    <t>Charger</t>
  </si>
  <si>
    <t>Smart TV</t>
  </si>
  <si>
    <t>Smart Tv</t>
  </si>
  <si>
    <t>Tabet</t>
  </si>
  <si>
    <t>Owerri</t>
  </si>
  <si>
    <t>Ogun</t>
  </si>
  <si>
    <t>Kaduna</t>
  </si>
  <si>
    <t>Abia</t>
  </si>
  <si>
    <t>Bayelsa</t>
  </si>
  <si>
    <t>Grand Total</t>
  </si>
  <si>
    <t>Jan</t>
  </si>
  <si>
    <t>Feb</t>
  </si>
  <si>
    <t>Mar</t>
  </si>
  <si>
    <t>Apr</t>
  </si>
  <si>
    <t>Sum of Revenue</t>
  </si>
  <si>
    <t>Total Revenue</t>
  </si>
  <si>
    <t>Total Units Sold</t>
  </si>
  <si>
    <t>Average Sales</t>
  </si>
  <si>
    <t>SUMMARY</t>
  </si>
  <si>
    <t>x/100 * GT = OWERRI</t>
  </si>
  <si>
    <r>
      <t xml:space="preserve">▪   Sales peaked in February with  </t>
    </r>
    <r>
      <rPr>
        <b/>
        <sz val="11"/>
        <color theme="1"/>
        <rFont val="Calibri"/>
        <family val="2"/>
      </rPr>
      <t>₦</t>
    </r>
    <r>
      <rPr>
        <b/>
        <sz val="11"/>
        <color theme="1"/>
        <rFont val="Calibri"/>
        <family val="2"/>
        <scheme val="minor"/>
      </rPr>
      <t>153.35M revenue</t>
    </r>
  </si>
  <si>
    <t>▪   Smart TV are the top selling product</t>
  </si>
  <si>
    <r>
      <rPr>
        <b/>
        <sz val="11"/>
        <color theme="1"/>
        <rFont val="Calibri"/>
        <family val="2"/>
      </rPr>
      <t xml:space="preserve">▪  </t>
    </r>
    <r>
      <rPr>
        <b/>
        <sz val="11"/>
        <color theme="1"/>
        <rFont val="Calibri"/>
        <family val="2"/>
        <scheme val="minor"/>
      </rPr>
      <t>Owerri generated the highest revenue (48% of total sales)</t>
    </r>
  </si>
  <si>
    <t>Sales Performance Dashboard – Excel</t>
  </si>
  <si>
    <t>Tools Used: Pivot Tables, Charts, Slicers,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</si>
</sst>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70]* #,##0.00_-;\-[$₦-470]* #,##0.00_-;_-[$₦-470]* &quot;-&quot;??_-;_-@_-"/>
  </numFmts>
  <fonts count="4" x14ac:knownFonts="1">
    <font>
      <sz val="11"/>
      <color theme="1"/>
      <name val="Calibri"/>
      <family val="2"/>
      <scheme val="minor"/>
    </font>
    <font>
      <b/>
      <sz val="11"/>
      <color theme="1"/>
      <name val="Calibri"/>
      <family val="2"/>
      <scheme val="minor"/>
    </font>
    <font>
      <b/>
      <sz val="18"/>
      <color theme="1"/>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horizontal="center" vertical="center" wrapText="1"/>
    </xf>
    <xf numFmtId="0" fontId="0" fillId="0" borderId="0" xfId="0" applyAlignment="1">
      <alignment horizontal="center"/>
    </xf>
    <xf numFmtId="0" fontId="0" fillId="0" borderId="0" xfId="0" applyAlignment="1">
      <alignment horizontal="left" vertical="center" wrapText="1"/>
    </xf>
    <xf numFmtId="164" fontId="0" fillId="0" borderId="0" xfId="0" applyNumberFormat="1" applyAlignment="1">
      <alignment vertical="center" wrapText="1"/>
    </xf>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horizontal="left"/>
    </xf>
    <xf numFmtId="164" fontId="1" fillId="0" borderId="0" xfId="0" applyNumberFormat="1" applyFont="1" applyAlignment="1">
      <alignment horizontal="center"/>
    </xf>
    <xf numFmtId="0" fontId="1" fillId="0" borderId="0" xfId="0" applyFont="1" applyAlignment="1">
      <alignment horizontal="center"/>
    </xf>
    <xf numFmtId="0" fontId="2" fillId="0" borderId="0" xfId="0" applyFont="1"/>
    <xf numFmtId="0" fontId="1" fillId="0" borderId="0" xfId="0" applyFont="1"/>
    <xf numFmtId="0" fontId="1" fillId="0" borderId="0" xfId="0" applyFont="1" applyAlignment="1">
      <alignment horizontal="left"/>
    </xf>
  </cellXfs>
  <cellStyles count="1">
    <cellStyle name="Normal" xfId="0" builtinId="0"/>
  </cellStyles>
  <dxfs count="16">
    <dxf>
      <numFmt numFmtId="164" formatCode="_-[$₦-470]* #,##0.00_-;\-[$₦-470]* #,##0.00_-;_-[$₦-470]* &quot;-&quot;??_-;_-@_-"/>
      <alignment horizontal="general" vertical="center" textRotation="0" wrapText="1" indent="0" justifyLastLine="0" shrinkToFit="0" readingOrder="0"/>
    </dxf>
    <dxf>
      <numFmt numFmtId="164" formatCode="_-[$₦-470]* #,##0.00_-;\-[$₦-470]* #,##0.00_-;_-[$₦-470]* &quot;-&quot;??_-;_-@_-"/>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numFmt numFmtId="20" formatCode="d\-mmm\-yy"/>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4" formatCode="_-[$₦-470]* #,##0.00_-;\-[$₦-470]* #,##0.00_-;_-[$₦-470]* &quot;-&quot;??_-;_-@_-"/>
      <alignment horizontal="general" vertical="center" textRotation="0" wrapText="1" indent="0" justifyLastLine="0" shrinkToFit="0" readingOrder="0"/>
    </dxf>
    <dxf>
      <numFmt numFmtId="164" formatCode="_-[$₦-470]* #,##0.00_-;\-[$₦-470]* #,##0.00_-;_-[$₦-470]* &quot;-&quot;??_-;_-@_-"/>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numFmt numFmtId="20" formatCode="d\-mmm\-yy"/>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Analysis!$A$2:$A$10</c:f>
              <c:strCache>
                <c:ptCount val="8"/>
                <c:pt idx="0">
                  <c:v>Abia</c:v>
                </c:pt>
                <c:pt idx="1">
                  <c:v>Abuja</c:v>
                </c:pt>
                <c:pt idx="2">
                  <c:v>Bayelsa</c:v>
                </c:pt>
                <c:pt idx="3">
                  <c:v>Kaduna</c:v>
                </c:pt>
                <c:pt idx="4">
                  <c:v>Lagos</c:v>
                </c:pt>
                <c:pt idx="5">
                  <c:v>Ogun</c:v>
                </c:pt>
                <c:pt idx="6">
                  <c:v>Owerri</c:v>
                </c:pt>
                <c:pt idx="7">
                  <c:v>Port Harcourt</c:v>
                </c:pt>
              </c:strCache>
            </c:strRef>
          </c:cat>
          <c:val>
            <c:numRef>
              <c:f>Analysis!$B$2:$B$10</c:f>
              <c:numCache>
                <c:formatCode>_-[$₦-470]* #,##0.00_-;\-[$₦-470]* #,##0.00_-;_-[$₦-470]* "-"??_-;_-@_-</c:formatCode>
                <c:ptCount val="8"/>
                <c:pt idx="0">
                  <c:v>3350000</c:v>
                </c:pt>
                <c:pt idx="1">
                  <c:v>3785000</c:v>
                </c:pt>
                <c:pt idx="2">
                  <c:v>17505000</c:v>
                </c:pt>
                <c:pt idx="3">
                  <c:v>5250000</c:v>
                </c:pt>
                <c:pt idx="4">
                  <c:v>7205000</c:v>
                </c:pt>
                <c:pt idx="5">
                  <c:v>3300000</c:v>
                </c:pt>
                <c:pt idx="6">
                  <c:v>111020000</c:v>
                </c:pt>
                <c:pt idx="7">
                  <c:v>77890000</c:v>
                </c:pt>
              </c:numCache>
            </c:numRef>
          </c:val>
          <c:extLst>
            <c:ext xmlns:c16="http://schemas.microsoft.com/office/drawing/2014/chart" uri="{C3380CC4-5D6E-409C-BE32-E72D297353CC}">
              <c16:uniqueId val="{00000000-8121-434B-95DD-A5FC3B8CEF14}"/>
            </c:ext>
          </c:extLst>
        </c:ser>
        <c:dLbls>
          <c:showLegendKey val="0"/>
          <c:showVal val="0"/>
          <c:showCatName val="0"/>
          <c:showSerName val="0"/>
          <c:showPercent val="0"/>
          <c:showBubbleSize val="0"/>
        </c:dLbls>
        <c:gapWidth val="219"/>
        <c:overlap val="-27"/>
        <c:axId val="617659936"/>
        <c:axId val="617653816"/>
      </c:barChart>
      <c:catAx>
        <c:axId val="61765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7653816"/>
        <c:crosses val="autoZero"/>
        <c:auto val="1"/>
        <c:lblAlgn val="ctr"/>
        <c:lblOffset val="100"/>
        <c:noMultiLvlLbl val="0"/>
      </c:catAx>
      <c:valAx>
        <c:axId val="617653816"/>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765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c:f>
              <c:strCache>
                <c:ptCount val="1"/>
                <c:pt idx="0">
                  <c:v>Total</c:v>
                </c:pt>
              </c:strCache>
            </c:strRef>
          </c:tx>
          <c:spPr>
            <a:solidFill>
              <a:schemeClr val="accent1"/>
            </a:solidFill>
            <a:ln>
              <a:noFill/>
            </a:ln>
            <a:effectLst/>
          </c:spPr>
          <c:invertIfNegative val="0"/>
          <c:cat>
            <c:strRef>
              <c:f>Analysis!$D$2:$D$11</c:f>
              <c:strCache>
                <c:ptCount val="9"/>
                <c:pt idx="0">
                  <c:v>Airpods</c:v>
                </c:pt>
                <c:pt idx="1">
                  <c:v>Bluetooth speaker</c:v>
                </c:pt>
                <c:pt idx="2">
                  <c:v>Charger</c:v>
                </c:pt>
                <c:pt idx="3">
                  <c:v>Laptop</c:v>
                </c:pt>
                <c:pt idx="4">
                  <c:v>Phone</c:v>
                </c:pt>
                <c:pt idx="5">
                  <c:v>Smart TV</c:v>
                </c:pt>
                <c:pt idx="6">
                  <c:v>Smart watch</c:v>
                </c:pt>
                <c:pt idx="7">
                  <c:v>Tabet</c:v>
                </c:pt>
                <c:pt idx="8">
                  <c:v>Tablet</c:v>
                </c:pt>
              </c:strCache>
            </c:strRef>
          </c:cat>
          <c:val>
            <c:numRef>
              <c:f>Analysis!$E$2:$E$11</c:f>
              <c:numCache>
                <c:formatCode>_-[$₦-470]* #,##0.00_-;\-[$₦-470]* #,##0.00_-;_-[$₦-470]* "-"??_-;_-@_-</c:formatCode>
                <c:ptCount val="9"/>
                <c:pt idx="0">
                  <c:v>4495000</c:v>
                </c:pt>
                <c:pt idx="1">
                  <c:v>3150000</c:v>
                </c:pt>
                <c:pt idx="2">
                  <c:v>255000</c:v>
                </c:pt>
                <c:pt idx="3">
                  <c:v>27000000</c:v>
                </c:pt>
                <c:pt idx="4">
                  <c:v>33880000</c:v>
                </c:pt>
                <c:pt idx="5">
                  <c:v>143500000</c:v>
                </c:pt>
                <c:pt idx="6">
                  <c:v>4725000</c:v>
                </c:pt>
                <c:pt idx="7">
                  <c:v>3000000</c:v>
                </c:pt>
                <c:pt idx="8">
                  <c:v>9300000</c:v>
                </c:pt>
              </c:numCache>
            </c:numRef>
          </c:val>
          <c:extLst>
            <c:ext xmlns:c16="http://schemas.microsoft.com/office/drawing/2014/chart" uri="{C3380CC4-5D6E-409C-BE32-E72D297353CC}">
              <c16:uniqueId val="{00000000-76F7-447A-B2A1-94B0E07F5A4D}"/>
            </c:ext>
          </c:extLst>
        </c:ser>
        <c:dLbls>
          <c:showLegendKey val="0"/>
          <c:showVal val="0"/>
          <c:showCatName val="0"/>
          <c:showSerName val="0"/>
          <c:showPercent val="0"/>
          <c:showBubbleSize val="0"/>
        </c:dLbls>
        <c:gapWidth val="182"/>
        <c:axId val="606987352"/>
        <c:axId val="606986272"/>
      </c:barChart>
      <c:catAx>
        <c:axId val="606987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86272"/>
        <c:crosses val="autoZero"/>
        <c:auto val="1"/>
        <c:lblAlgn val="ctr"/>
        <c:lblOffset val="100"/>
        <c:noMultiLvlLbl val="0"/>
      </c:catAx>
      <c:valAx>
        <c:axId val="606986272"/>
        <c:scaling>
          <c:orientation val="minMax"/>
        </c:scaling>
        <c:delete val="0"/>
        <c:axPos val="b"/>
        <c:majorGridlines>
          <c:spPr>
            <a:ln w="9525" cap="flat" cmpd="sng" algn="ctr">
              <a:solidFill>
                <a:schemeClr val="tx1">
                  <a:lumMod val="15000"/>
                  <a:lumOff val="85000"/>
                </a:schemeClr>
              </a:solidFill>
              <a:round/>
            </a:ln>
            <a:effectLst/>
          </c:spPr>
        </c:majorGridlines>
        <c:numFmt formatCode="_-[$₦-470]* #,##0.00_-;\-[$₦-470]* #,##0.00_-;_-[$₦-470]*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87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Analysis!$B$14</c:f>
              <c:strCache>
                <c:ptCount val="1"/>
                <c:pt idx="0">
                  <c:v>Total</c:v>
                </c:pt>
              </c:strCache>
            </c:strRef>
          </c:tx>
          <c:spPr>
            <a:ln w="28575" cap="rnd">
              <a:solidFill>
                <a:schemeClr val="accent1"/>
              </a:solidFill>
              <a:round/>
            </a:ln>
            <a:effectLst/>
          </c:spPr>
          <c:marker>
            <c:symbol val="none"/>
          </c:marker>
          <c:cat>
            <c:strRef>
              <c:f>Analysis!$A$15:$A$18</c:f>
              <c:strCache>
                <c:ptCount val="3"/>
                <c:pt idx="0">
                  <c:v>Ada</c:v>
                </c:pt>
                <c:pt idx="1">
                  <c:v>Musa</c:v>
                </c:pt>
                <c:pt idx="2">
                  <c:v>Tunde</c:v>
                </c:pt>
              </c:strCache>
            </c:strRef>
          </c:cat>
          <c:val>
            <c:numRef>
              <c:f>Analysis!$B$15:$B$18</c:f>
              <c:numCache>
                <c:formatCode>_-[$₦-470]* #,##0.00_-;\-[$₦-470]* #,##0.00_-;_-[$₦-470]* "-"??_-;_-@_-</c:formatCode>
                <c:ptCount val="3"/>
                <c:pt idx="0">
                  <c:v>88025000</c:v>
                </c:pt>
                <c:pt idx="1">
                  <c:v>30525000</c:v>
                </c:pt>
                <c:pt idx="2">
                  <c:v>110755000</c:v>
                </c:pt>
              </c:numCache>
            </c:numRef>
          </c:val>
          <c:smooth val="0"/>
          <c:extLst>
            <c:ext xmlns:c16="http://schemas.microsoft.com/office/drawing/2014/chart" uri="{C3380CC4-5D6E-409C-BE32-E72D297353CC}">
              <c16:uniqueId val="{00000000-CCF8-4A7C-8854-6C8F3FD8A2E0}"/>
            </c:ext>
          </c:extLst>
        </c:ser>
        <c:dLbls>
          <c:showLegendKey val="0"/>
          <c:showVal val="0"/>
          <c:showCatName val="0"/>
          <c:showSerName val="0"/>
          <c:showPercent val="0"/>
          <c:showBubbleSize val="0"/>
        </c:dLbls>
        <c:smooth val="0"/>
        <c:axId val="606975832"/>
        <c:axId val="606970432"/>
      </c:lineChart>
      <c:catAx>
        <c:axId val="60697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70432"/>
        <c:crosses val="autoZero"/>
        <c:auto val="1"/>
        <c:lblAlgn val="ctr"/>
        <c:lblOffset val="100"/>
        <c:noMultiLvlLbl val="0"/>
      </c:catAx>
      <c:valAx>
        <c:axId val="606970432"/>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975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Analysis!$E$14</c:f>
              <c:strCache>
                <c:ptCount val="1"/>
                <c:pt idx="0">
                  <c:v>Total</c:v>
                </c:pt>
              </c:strCache>
            </c:strRef>
          </c:tx>
          <c:spPr>
            <a:solidFill>
              <a:schemeClr val="accent1"/>
            </a:solidFill>
            <a:ln>
              <a:noFill/>
            </a:ln>
            <a:effectLst/>
            <a:sp3d/>
          </c:spPr>
          <c:invertIfNegative val="0"/>
          <c:cat>
            <c:strRef>
              <c:f>Analysis!$D$15:$D$19</c:f>
              <c:strCache>
                <c:ptCount val="4"/>
                <c:pt idx="0">
                  <c:v>Jan</c:v>
                </c:pt>
                <c:pt idx="1">
                  <c:v>Feb</c:v>
                </c:pt>
                <c:pt idx="2">
                  <c:v>Mar</c:v>
                </c:pt>
                <c:pt idx="3">
                  <c:v>Apr</c:v>
                </c:pt>
              </c:strCache>
            </c:strRef>
          </c:cat>
          <c:val>
            <c:numRef>
              <c:f>Analysis!$E$15:$E$19</c:f>
              <c:numCache>
                <c:formatCode>_-[$₦-470]* #,##0.00_-;\-[$₦-470]* #,##0.00_-;_-[$₦-470]* "-"??_-;_-@_-</c:formatCode>
                <c:ptCount val="4"/>
                <c:pt idx="0">
                  <c:v>20160000</c:v>
                </c:pt>
                <c:pt idx="1">
                  <c:v>153350000</c:v>
                </c:pt>
                <c:pt idx="2">
                  <c:v>45035000</c:v>
                </c:pt>
                <c:pt idx="3">
                  <c:v>10760000</c:v>
                </c:pt>
              </c:numCache>
            </c:numRef>
          </c:val>
          <c:extLst>
            <c:ext xmlns:c16="http://schemas.microsoft.com/office/drawing/2014/chart" uri="{C3380CC4-5D6E-409C-BE32-E72D297353CC}">
              <c16:uniqueId val="{00000000-960D-4FCB-B81D-2860691B5B4A}"/>
            </c:ext>
          </c:extLst>
        </c:ser>
        <c:dLbls>
          <c:showLegendKey val="0"/>
          <c:showVal val="0"/>
          <c:showCatName val="0"/>
          <c:showSerName val="0"/>
          <c:showPercent val="0"/>
          <c:showBubbleSize val="0"/>
        </c:dLbls>
        <c:gapWidth val="150"/>
        <c:shape val="box"/>
        <c:axId val="812869024"/>
        <c:axId val="812871904"/>
        <c:axId val="0"/>
      </c:bar3DChart>
      <c:catAx>
        <c:axId val="8128690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71904"/>
        <c:crosses val="autoZero"/>
        <c:auto val="1"/>
        <c:lblAlgn val="ctr"/>
        <c:lblOffset val="100"/>
        <c:noMultiLvlLbl val="0"/>
      </c:catAx>
      <c:valAx>
        <c:axId val="812871904"/>
        <c:scaling>
          <c:orientation val="minMax"/>
        </c:scaling>
        <c:delete val="0"/>
        <c:axPos val="b"/>
        <c:majorGridlines>
          <c:spPr>
            <a:ln w="9525" cap="flat" cmpd="sng" algn="ctr">
              <a:solidFill>
                <a:schemeClr val="tx1">
                  <a:lumMod val="15000"/>
                  <a:lumOff val="85000"/>
                </a:schemeClr>
              </a:solidFill>
              <a:round/>
            </a:ln>
            <a:effectLst/>
          </c:spPr>
        </c:majorGridlines>
        <c:numFmt formatCode="_-[$₦-470]* #,##0.00_-;\-[$₦-470]* #,##0.00_-;_-[$₦-470]*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86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295275</xdr:colOff>
      <xdr:row>15</xdr:row>
      <xdr:rowOff>90488</xdr:rowOff>
    </xdr:to>
    <xdr:graphicFrame macro="">
      <xdr:nvGraphicFramePr>
        <xdr:cNvPr id="2" name="Chart 1">
          <a:extLst>
            <a:ext uri="{FF2B5EF4-FFF2-40B4-BE49-F238E27FC236}">
              <a16:creationId xmlns:a16="http://schemas.microsoft.com/office/drawing/2014/main" id="{3804AFFD-AC26-4133-A3E7-5B54F9329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xdr:colOff>
      <xdr:row>0</xdr:row>
      <xdr:rowOff>0</xdr:rowOff>
    </xdr:from>
    <xdr:to>
      <xdr:col>20</xdr:col>
      <xdr:colOff>352425</xdr:colOff>
      <xdr:row>14</xdr:row>
      <xdr:rowOff>76200</xdr:rowOff>
    </xdr:to>
    <xdr:graphicFrame macro="">
      <xdr:nvGraphicFramePr>
        <xdr:cNvPr id="3" name="Chart 2">
          <a:extLst>
            <a:ext uri="{FF2B5EF4-FFF2-40B4-BE49-F238E27FC236}">
              <a16:creationId xmlns:a16="http://schemas.microsoft.com/office/drawing/2014/main" id="{6419BD97-D08C-4300-80E8-9FF3B651F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xdr:colOff>
      <xdr:row>17</xdr:row>
      <xdr:rowOff>142875</xdr:rowOff>
    </xdr:from>
    <xdr:to>
      <xdr:col>20</xdr:col>
      <xdr:colOff>352425</xdr:colOff>
      <xdr:row>32</xdr:row>
      <xdr:rowOff>28575</xdr:rowOff>
    </xdr:to>
    <xdr:graphicFrame macro="">
      <xdr:nvGraphicFramePr>
        <xdr:cNvPr id="4" name="Chart 3">
          <a:extLst>
            <a:ext uri="{FF2B5EF4-FFF2-40B4-BE49-F238E27FC236}">
              <a16:creationId xmlns:a16="http://schemas.microsoft.com/office/drawing/2014/main" id="{FC2D8A8F-CFDF-47E0-B926-BCF7022B1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171450</xdr:rowOff>
    </xdr:from>
    <xdr:to>
      <xdr:col>7</xdr:col>
      <xdr:colOff>304800</xdr:colOff>
      <xdr:row>32</xdr:row>
      <xdr:rowOff>57150</xdr:rowOff>
    </xdr:to>
    <xdr:graphicFrame macro="">
      <xdr:nvGraphicFramePr>
        <xdr:cNvPr id="5" name="Chart 4">
          <a:extLst>
            <a:ext uri="{FF2B5EF4-FFF2-40B4-BE49-F238E27FC236}">
              <a16:creationId xmlns:a16="http://schemas.microsoft.com/office/drawing/2014/main" id="{0F6681DA-B554-4620-ACF7-1B8AA25D7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295275</xdr:colOff>
      <xdr:row>6</xdr:row>
      <xdr:rowOff>85726</xdr:rowOff>
    </xdr:from>
    <xdr:to>
      <xdr:col>9</xdr:col>
      <xdr:colOff>200025</xdr:colOff>
      <xdr:row>15</xdr:row>
      <xdr:rowOff>85726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3FCC043-F0AF-60D0-B790-D16AD9E885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62475" y="1228726"/>
              <a:ext cx="11239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209550</xdr:colOff>
      <xdr:row>0</xdr:row>
      <xdr:rowOff>0</xdr:rowOff>
    </xdr:from>
    <xdr:to>
      <xdr:col>13</xdr:col>
      <xdr:colOff>47626</xdr:colOff>
      <xdr:row>9</xdr:row>
      <xdr:rowOff>47625</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4E63B6C2-899F-4F7C-1E66-6AA715E8131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05550" y="0"/>
              <a:ext cx="1666876"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304801</xdr:colOff>
      <xdr:row>24</xdr:row>
      <xdr:rowOff>171450</xdr:rowOff>
    </xdr:from>
    <xdr:to>
      <xdr:col>10</xdr:col>
      <xdr:colOff>47625</xdr:colOff>
      <xdr:row>32</xdr:row>
      <xdr:rowOff>66675</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E67E52D3-1E0F-5A13-893B-62D2AA37C0D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572001" y="4743450"/>
              <a:ext cx="1571624"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352425</xdr:colOff>
      <xdr:row>17</xdr:row>
      <xdr:rowOff>142876</xdr:rowOff>
    </xdr:from>
    <xdr:to>
      <xdr:col>13</xdr:col>
      <xdr:colOff>57150</xdr:colOff>
      <xdr:row>24</xdr:row>
      <xdr:rowOff>66676</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69CB421B-4A32-FD14-DDD0-DC5A818C9CC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448425" y="3381376"/>
              <a:ext cx="153352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361950</xdr:colOff>
      <xdr:row>1</xdr:row>
      <xdr:rowOff>76200</xdr:rowOff>
    </xdr:from>
    <xdr:to>
      <xdr:col>10</xdr:col>
      <xdr:colOff>342900</xdr:colOff>
      <xdr:row>9</xdr:row>
      <xdr:rowOff>0</xdr:rowOff>
    </xdr:to>
    <xdr:sp macro="" textlink="">
      <xdr:nvSpPr>
        <xdr:cNvPr id="15" name="Rectangle 14">
          <a:extLst>
            <a:ext uri="{FF2B5EF4-FFF2-40B4-BE49-F238E27FC236}">
              <a16:creationId xmlns:a16="http://schemas.microsoft.com/office/drawing/2014/main" id="{E2E9D9E8-3A68-3C72-4DF2-65373D4DFDD4}"/>
            </a:ext>
          </a:extLst>
        </xdr:cNvPr>
        <xdr:cNvSpPr/>
      </xdr:nvSpPr>
      <xdr:spPr>
        <a:xfrm>
          <a:off x="7277100" y="266700"/>
          <a:ext cx="2095500" cy="1447800"/>
        </a:xfrm>
        <a:prstGeom prst="rect">
          <a:avLst/>
        </a:prstGeom>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342900</xdr:colOff>
      <xdr:row>1</xdr:row>
      <xdr:rowOff>104775</xdr:rowOff>
    </xdr:from>
    <xdr:to>
      <xdr:col>6</xdr:col>
      <xdr:colOff>790575</xdr:colOff>
      <xdr:row>9</xdr:row>
      <xdr:rowOff>28575</xdr:rowOff>
    </xdr:to>
    <xdr:sp macro="" textlink="">
      <xdr:nvSpPr>
        <xdr:cNvPr id="16" name="Rectangle 15">
          <a:extLst>
            <a:ext uri="{FF2B5EF4-FFF2-40B4-BE49-F238E27FC236}">
              <a16:creationId xmlns:a16="http://schemas.microsoft.com/office/drawing/2014/main" id="{6AA6896F-9326-E6B9-C70F-3A8BCF68A4B3}"/>
            </a:ext>
          </a:extLst>
        </xdr:cNvPr>
        <xdr:cNvSpPr/>
      </xdr:nvSpPr>
      <xdr:spPr>
        <a:xfrm>
          <a:off x="3905250" y="295275"/>
          <a:ext cx="2076450" cy="1447800"/>
        </a:xfrm>
        <a:prstGeom prst="rect">
          <a:avLst/>
        </a:prstGeom>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533400</xdr:colOff>
      <xdr:row>1</xdr:row>
      <xdr:rowOff>114300</xdr:rowOff>
    </xdr:from>
    <xdr:to>
      <xdr:col>2</xdr:col>
      <xdr:colOff>771525</xdr:colOff>
      <xdr:row>9</xdr:row>
      <xdr:rowOff>38100</xdr:rowOff>
    </xdr:to>
    <xdr:sp macro="" textlink="">
      <xdr:nvSpPr>
        <xdr:cNvPr id="2" name="Rectangle 1">
          <a:extLst>
            <a:ext uri="{FF2B5EF4-FFF2-40B4-BE49-F238E27FC236}">
              <a16:creationId xmlns:a16="http://schemas.microsoft.com/office/drawing/2014/main" id="{1D6803F6-6432-F83D-C641-3981D2DDC980}"/>
            </a:ext>
          </a:extLst>
        </xdr:cNvPr>
        <xdr:cNvSpPr/>
      </xdr:nvSpPr>
      <xdr:spPr>
        <a:xfrm>
          <a:off x="533400" y="304800"/>
          <a:ext cx="2076450" cy="1447800"/>
        </a:xfrm>
        <a:prstGeom prst="rect">
          <a:avLst/>
        </a:prstGeom>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628650</xdr:colOff>
      <xdr:row>2</xdr:row>
      <xdr:rowOff>85725</xdr:rowOff>
    </xdr:from>
    <xdr:to>
      <xdr:col>2</xdr:col>
      <xdr:colOff>695325</xdr:colOff>
      <xdr:row>3</xdr:row>
      <xdr:rowOff>171450</xdr:rowOff>
    </xdr:to>
    <xdr:sp macro="" textlink="">
      <xdr:nvSpPr>
        <xdr:cNvPr id="4" name="TextBox 3">
          <a:extLst>
            <a:ext uri="{FF2B5EF4-FFF2-40B4-BE49-F238E27FC236}">
              <a16:creationId xmlns:a16="http://schemas.microsoft.com/office/drawing/2014/main" id="{1714FACA-AB6D-8438-CE95-6C7C6769FE6E}"/>
            </a:ext>
          </a:extLst>
        </xdr:cNvPr>
        <xdr:cNvSpPr txBox="1"/>
      </xdr:nvSpPr>
      <xdr:spPr>
        <a:xfrm>
          <a:off x="628650" y="466725"/>
          <a:ext cx="1905000" cy="276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panose="020B0604020202020204" pitchFamily="34" charset="0"/>
              <a:cs typeface="Arial" panose="020B0604020202020204" pitchFamily="34" charset="0"/>
            </a:rPr>
            <a:t>Total</a:t>
          </a:r>
          <a:r>
            <a:rPr lang="en-US" sz="1100" b="1" baseline="0">
              <a:latin typeface="Arial" panose="020B0604020202020204" pitchFamily="34" charset="0"/>
              <a:cs typeface="Arial" panose="020B0604020202020204" pitchFamily="34" charset="0"/>
            </a:rPr>
            <a:t> </a:t>
          </a:r>
          <a:r>
            <a:rPr lang="en-US" sz="1200" b="1" baseline="0">
              <a:latin typeface="Arial" panose="020B0604020202020204" pitchFamily="34" charset="0"/>
              <a:cs typeface="Arial" panose="020B0604020202020204" pitchFamily="34" charset="0"/>
            </a:rPr>
            <a:t>Revenue</a:t>
          </a:r>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504825</xdr:colOff>
      <xdr:row>2</xdr:row>
      <xdr:rowOff>85725</xdr:rowOff>
    </xdr:from>
    <xdr:to>
      <xdr:col>6</xdr:col>
      <xdr:colOff>647700</xdr:colOff>
      <xdr:row>3</xdr:row>
      <xdr:rowOff>171450</xdr:rowOff>
    </xdr:to>
    <xdr:sp macro="" textlink="">
      <xdr:nvSpPr>
        <xdr:cNvPr id="6" name="TextBox 5">
          <a:extLst>
            <a:ext uri="{FF2B5EF4-FFF2-40B4-BE49-F238E27FC236}">
              <a16:creationId xmlns:a16="http://schemas.microsoft.com/office/drawing/2014/main" id="{15169B11-6711-7CE1-B0A4-A7FE42CCFB9E}"/>
            </a:ext>
          </a:extLst>
        </xdr:cNvPr>
        <xdr:cNvSpPr txBox="1"/>
      </xdr:nvSpPr>
      <xdr:spPr>
        <a:xfrm>
          <a:off x="4067175" y="466725"/>
          <a:ext cx="1771650" cy="276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panose="020B0604020202020204" pitchFamily="34" charset="0"/>
              <a:cs typeface="Arial" panose="020B0604020202020204" pitchFamily="34" charset="0"/>
            </a:rPr>
            <a:t>Total</a:t>
          </a:r>
          <a:r>
            <a:rPr lang="en-US" sz="1100" b="1" baseline="0">
              <a:latin typeface="Arial" panose="020B0604020202020204" pitchFamily="34" charset="0"/>
              <a:cs typeface="Arial" panose="020B0604020202020204" pitchFamily="34" charset="0"/>
            </a:rPr>
            <a:t> </a:t>
          </a:r>
          <a:r>
            <a:rPr lang="en-US" sz="1200" b="1" baseline="0">
              <a:latin typeface="Arial" panose="020B0604020202020204" pitchFamily="34" charset="0"/>
              <a:cs typeface="Arial" panose="020B0604020202020204" pitchFamily="34" charset="0"/>
            </a:rPr>
            <a:t>Units Sold</a:t>
          </a:r>
          <a:endParaRPr lang="en-US" sz="1100" b="1">
            <a:latin typeface="Arial" panose="020B0604020202020204" pitchFamily="34" charset="0"/>
            <a:cs typeface="Arial" panose="020B0604020202020204" pitchFamily="34" charset="0"/>
          </a:endParaRPr>
        </a:p>
      </xdr:txBody>
    </xdr:sp>
    <xdr:clientData/>
  </xdr:twoCellAnchor>
  <xdr:twoCellAnchor>
    <xdr:from>
      <xdr:col>8</xdr:col>
      <xdr:colOff>619126</xdr:colOff>
      <xdr:row>2</xdr:row>
      <xdr:rowOff>66675</xdr:rowOff>
    </xdr:from>
    <xdr:to>
      <xdr:col>10</xdr:col>
      <xdr:colOff>95251</xdr:colOff>
      <xdr:row>3</xdr:row>
      <xdr:rowOff>152400</xdr:rowOff>
    </xdr:to>
    <xdr:sp macro="" textlink="">
      <xdr:nvSpPr>
        <xdr:cNvPr id="8" name="TextBox 7">
          <a:extLst>
            <a:ext uri="{FF2B5EF4-FFF2-40B4-BE49-F238E27FC236}">
              <a16:creationId xmlns:a16="http://schemas.microsoft.com/office/drawing/2014/main" id="{965DA603-A4AA-7E8C-E193-BCB68087B2DE}"/>
            </a:ext>
          </a:extLst>
        </xdr:cNvPr>
        <xdr:cNvSpPr txBox="1"/>
      </xdr:nvSpPr>
      <xdr:spPr>
        <a:xfrm>
          <a:off x="7534276" y="447675"/>
          <a:ext cx="1590675" cy="276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Arial" panose="020B0604020202020204" pitchFamily="34" charset="0"/>
              <a:cs typeface="Arial" panose="020B0604020202020204" pitchFamily="34" charset="0"/>
            </a:rPr>
            <a:t>Average Sale</a:t>
          </a:r>
        </a:p>
      </xdr:txBody>
    </xdr:sp>
    <xdr:clientData/>
  </xdr:twoCellAnchor>
  <xdr:twoCellAnchor>
    <xdr:from>
      <xdr:col>5</xdr:col>
      <xdr:colOff>238125</xdr:colOff>
      <xdr:row>3</xdr:row>
      <xdr:rowOff>104775</xdr:rowOff>
    </xdr:from>
    <xdr:to>
      <xdr:col>7</xdr:col>
      <xdr:colOff>304800</xdr:colOff>
      <xdr:row>5</xdr:row>
      <xdr:rowOff>0</xdr:rowOff>
    </xdr:to>
    <xdr:sp macro="" textlink="'KPI CARD'!$B$10">
      <xdr:nvSpPr>
        <xdr:cNvPr id="12" name="TextBox 11">
          <a:extLst>
            <a:ext uri="{FF2B5EF4-FFF2-40B4-BE49-F238E27FC236}">
              <a16:creationId xmlns:a16="http://schemas.microsoft.com/office/drawing/2014/main" id="{CE116938-99FC-16B0-E88B-7AD8905C008C}"/>
            </a:ext>
          </a:extLst>
        </xdr:cNvPr>
        <xdr:cNvSpPr txBox="1"/>
      </xdr:nvSpPr>
      <xdr:spPr>
        <a:xfrm>
          <a:off x="3286125" y="676275"/>
          <a:ext cx="1285875" cy="2762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00A1B7-9205-46D8-AB16-24B9FCE84A68}" type="TxLink">
            <a:rPr lang="en-US" sz="1100" b="0" i="0" u="none" strike="noStrike">
              <a:solidFill>
                <a:sysClr val="windowText" lastClr="000000"/>
              </a:solidFill>
              <a:latin typeface="Calibri"/>
              <a:ea typeface="Calibri"/>
              <a:cs typeface="Calibri"/>
            </a:rPr>
            <a:pPr algn="ctr"/>
            <a:t> </a:t>
          </a:fld>
          <a:endParaRPr lang="en-U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85725</xdr:colOff>
      <xdr:row>4</xdr:row>
      <xdr:rowOff>66675</xdr:rowOff>
    </xdr:from>
    <xdr:to>
      <xdr:col>2</xdr:col>
      <xdr:colOff>561975</xdr:colOff>
      <xdr:row>5</xdr:row>
      <xdr:rowOff>152400</xdr:rowOff>
    </xdr:to>
    <xdr:sp macro="" textlink="$J$22">
      <xdr:nvSpPr>
        <xdr:cNvPr id="13" name="TextBox 12">
          <a:extLst>
            <a:ext uri="{FF2B5EF4-FFF2-40B4-BE49-F238E27FC236}">
              <a16:creationId xmlns:a16="http://schemas.microsoft.com/office/drawing/2014/main" id="{55E964D6-7BBD-288C-C3E0-4068031A3389}"/>
            </a:ext>
          </a:extLst>
        </xdr:cNvPr>
        <xdr:cNvSpPr txBox="1"/>
      </xdr:nvSpPr>
      <xdr:spPr>
        <a:xfrm>
          <a:off x="742950" y="828675"/>
          <a:ext cx="1657350" cy="276225"/>
        </a:xfrm>
        <a:prstGeom prst="rect">
          <a:avLst/>
        </a:prstGeom>
        <a:solidFill>
          <a:schemeClr val="tx2">
            <a:lumMod val="40000"/>
            <a:lumOff val="6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CBCE3C-2D6C-4D51-8FBB-470B4245BA28}" type="TxLink">
            <a:rPr lang="en-US" sz="1100" b="1" i="0" u="none" strike="noStrike">
              <a:solidFill>
                <a:srgbClr val="000000"/>
              </a:solidFill>
              <a:latin typeface="Calibri"/>
              <a:ea typeface="Calibri"/>
              <a:cs typeface="Calibri"/>
            </a:rPr>
            <a:pPr algn="ctr"/>
            <a:t> ₦229,305,000.00 </a:t>
          </a:fld>
          <a:endParaRPr lang="en-US" sz="1100" b="1">
            <a:latin typeface="Arial" panose="020B0604020202020204" pitchFamily="34" charset="0"/>
            <a:cs typeface="Arial" panose="020B0604020202020204" pitchFamily="34" charset="0"/>
          </a:endParaRPr>
        </a:p>
      </xdr:txBody>
    </xdr:sp>
    <xdr:clientData/>
  </xdr:twoCellAnchor>
  <xdr:twoCellAnchor>
    <xdr:from>
      <xdr:col>4</xdr:col>
      <xdr:colOff>552450</xdr:colOff>
      <xdr:row>4</xdr:row>
      <xdr:rowOff>38100</xdr:rowOff>
    </xdr:from>
    <xdr:to>
      <xdr:col>6</xdr:col>
      <xdr:colOff>581025</xdr:colOff>
      <xdr:row>5</xdr:row>
      <xdr:rowOff>123825</xdr:rowOff>
    </xdr:to>
    <xdr:sp macro="" textlink="$J$23">
      <xdr:nvSpPr>
        <xdr:cNvPr id="14" name="TextBox 13">
          <a:extLst>
            <a:ext uri="{FF2B5EF4-FFF2-40B4-BE49-F238E27FC236}">
              <a16:creationId xmlns:a16="http://schemas.microsoft.com/office/drawing/2014/main" id="{E0E0C986-14F3-251E-E9A4-DD3A4458C218}"/>
            </a:ext>
          </a:extLst>
        </xdr:cNvPr>
        <xdr:cNvSpPr txBox="1"/>
      </xdr:nvSpPr>
      <xdr:spPr>
        <a:xfrm>
          <a:off x="4114800" y="800100"/>
          <a:ext cx="1657350" cy="276225"/>
        </a:xfrm>
        <a:prstGeom prst="rect">
          <a:avLst/>
        </a:prstGeom>
        <a:solidFill>
          <a:schemeClr val="tx2">
            <a:lumMod val="40000"/>
            <a:lumOff val="6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5EC612-8381-4F06-BB57-5D9E0B88CC79}" type="TxLink">
            <a:rPr lang="en-US" sz="1100" b="1" i="0" u="none" strike="noStrike">
              <a:solidFill>
                <a:srgbClr val="000000"/>
              </a:solidFill>
              <a:latin typeface="Calibri"/>
              <a:ea typeface="Calibri"/>
              <a:cs typeface="Calibri"/>
            </a:rPr>
            <a:pPr algn="ctr"/>
            <a:t>411</a:t>
          </a:fld>
          <a:endParaRPr lang="en-US" sz="1100" b="1">
            <a:latin typeface="Arial" panose="020B0604020202020204" pitchFamily="34" charset="0"/>
            <a:cs typeface="Arial" panose="020B0604020202020204" pitchFamily="34" charset="0"/>
          </a:endParaRPr>
        </a:p>
      </xdr:txBody>
    </xdr:sp>
    <xdr:clientData/>
  </xdr:twoCellAnchor>
  <xdr:twoCellAnchor>
    <xdr:from>
      <xdr:col>8</xdr:col>
      <xdr:colOff>523875</xdr:colOff>
      <xdr:row>3</xdr:row>
      <xdr:rowOff>180975</xdr:rowOff>
    </xdr:from>
    <xdr:to>
      <xdr:col>10</xdr:col>
      <xdr:colOff>171450</xdr:colOff>
      <xdr:row>5</xdr:row>
      <xdr:rowOff>76200</xdr:rowOff>
    </xdr:to>
    <xdr:sp macro="" textlink="$J$24">
      <xdr:nvSpPr>
        <xdr:cNvPr id="17" name="TextBox 16">
          <a:extLst>
            <a:ext uri="{FF2B5EF4-FFF2-40B4-BE49-F238E27FC236}">
              <a16:creationId xmlns:a16="http://schemas.microsoft.com/office/drawing/2014/main" id="{DD5507D6-CB67-7B7C-2D55-582EFE34E016}"/>
            </a:ext>
          </a:extLst>
        </xdr:cNvPr>
        <xdr:cNvSpPr txBox="1"/>
      </xdr:nvSpPr>
      <xdr:spPr>
        <a:xfrm>
          <a:off x="7439025" y="752475"/>
          <a:ext cx="1762125" cy="276225"/>
        </a:xfrm>
        <a:prstGeom prst="rect">
          <a:avLst/>
        </a:prstGeom>
        <a:solidFill>
          <a:schemeClr val="tx2">
            <a:lumMod val="40000"/>
            <a:lumOff val="6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72EA65-D493-4DD9-B9D2-D85765324269}" type="TxLink">
            <a:rPr lang="en-US" sz="1100" b="1" i="0" u="none" strike="noStrike">
              <a:solidFill>
                <a:srgbClr val="000000"/>
              </a:solidFill>
              <a:latin typeface="Calibri"/>
              <a:ea typeface="Calibri"/>
              <a:cs typeface="Calibri"/>
            </a:rPr>
            <a:pPr algn="ctr"/>
            <a:t> ₦4,679,693.88 </a:t>
          </a:fld>
          <a:endParaRPr lang="en-US" sz="1100" b="1">
            <a:latin typeface="Arial" panose="020B0604020202020204" pitchFamily="34" charset="0"/>
            <a:cs typeface="Arial" panose="020B0604020202020204" pitchFamily="34" charset="0"/>
          </a:endParaRPr>
        </a:p>
      </xdr:txBody>
    </xdr:sp>
    <xdr:clientData/>
  </xdr:twoCellAnchor>
  <xdr:twoCellAnchor editAs="oneCell">
    <xdr:from>
      <xdr:col>0</xdr:col>
      <xdr:colOff>638175</xdr:colOff>
      <xdr:row>6</xdr:row>
      <xdr:rowOff>47626</xdr:rowOff>
    </xdr:from>
    <xdr:to>
      <xdr:col>2</xdr:col>
      <xdr:colOff>657225</xdr:colOff>
      <xdr:row>8</xdr:row>
      <xdr:rowOff>134376</xdr:rowOff>
    </xdr:to>
    <xdr:pic>
      <xdr:nvPicPr>
        <xdr:cNvPr id="37" name="Picture 36">
          <a:extLst>
            <a:ext uri="{FF2B5EF4-FFF2-40B4-BE49-F238E27FC236}">
              <a16:creationId xmlns:a16="http://schemas.microsoft.com/office/drawing/2014/main" id="{4FCB4B06-EC91-992A-5826-EDB728222B2F}"/>
            </a:ext>
          </a:extLst>
        </xdr:cNvPr>
        <xdr:cNvPicPr>
          <a:picLocks noChangeAspect="1" noChangeArrowheads="1"/>
        </xdr:cNvPicPr>
      </xdr:nvPicPr>
      <xdr:blipFill>
        <a:blip xmlns:r="http://schemas.openxmlformats.org/officeDocument/2006/relationships" r:embed="rId1">
          <a:duotone>
            <a:prstClr val="black"/>
            <a:schemeClr val="accent1">
              <a:lumMod val="60000"/>
              <a:lumOff val="40000"/>
              <a:tint val="45000"/>
              <a:satMod val="400000"/>
            </a:schemeClr>
          </a:duotone>
          <a:extLst>
            <a:ext uri="{28A0092B-C50C-407E-A947-70E740481C1C}">
              <a14:useLocalDpi xmlns:a14="http://schemas.microsoft.com/office/drawing/2010/main" val="0"/>
            </a:ext>
          </a:extLst>
        </a:blip>
        <a:srcRect/>
        <a:stretch>
          <a:fillRect/>
        </a:stretch>
      </xdr:blipFill>
      <xdr:spPr bwMode="auto">
        <a:xfrm>
          <a:off x="638175" y="1190626"/>
          <a:ext cx="1857375" cy="4677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419100</xdr:colOff>
          <xdr:row>5</xdr:row>
          <xdr:rowOff>152400</xdr:rowOff>
        </xdr:from>
        <xdr:to>
          <xdr:col>6</xdr:col>
          <xdr:colOff>714375</xdr:colOff>
          <xdr:row>9</xdr:row>
          <xdr:rowOff>12016</xdr:rowOff>
        </xdr:to>
        <xdr:pic>
          <xdr:nvPicPr>
            <xdr:cNvPr id="3" name="Picture 2">
              <a:extLst>
                <a:ext uri="{FF2B5EF4-FFF2-40B4-BE49-F238E27FC236}">
                  <a16:creationId xmlns:a16="http://schemas.microsoft.com/office/drawing/2014/main" id="{6975345C-3768-0CEE-814A-44F249F4062E}"/>
                </a:ext>
              </a:extLst>
            </xdr:cNvPr>
            <xdr:cNvPicPr>
              <a:picLocks noChangeAspect="1" noChangeArrowheads="1"/>
              <a:extLst>
                <a:ext uri="{84589F7E-364E-4C9E-8A38-B11213B215E9}">
                  <a14:cameraTool cellRange="'KPI CARD'!$K$23" spid="_x0000_s2056"/>
                </a:ext>
              </a:extLst>
            </xdr:cNvPicPr>
          </xdr:nvPicPr>
          <xdr:blipFill>
            <a:blip xmlns:r="http://schemas.openxmlformats.org/officeDocument/2006/relationships" r:embed="rId2">
              <a:duotone>
                <a:prstClr val="black"/>
                <a:schemeClr val="accent1">
                  <a:lumMod val="60000"/>
                  <a:lumOff val="40000"/>
                  <a:tint val="45000"/>
                  <a:satMod val="400000"/>
                </a:schemeClr>
              </a:duotone>
            </a:blip>
            <a:srcRect/>
            <a:stretch>
              <a:fillRect/>
            </a:stretch>
          </xdr:blipFill>
          <xdr:spPr bwMode="auto">
            <a:xfrm>
              <a:off x="3981450" y="1104900"/>
              <a:ext cx="1924050" cy="621616"/>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s Onuoha" refreshedDate="46105.85986423611" createdVersion="8" refreshedVersion="8" minRefreshableVersion="3" recordCount="49" xr:uid="{C5C918EC-FD33-49E7-9398-109D0E3433C5}">
  <cacheSource type="worksheet">
    <worksheetSource name="Sales_Data"/>
  </cacheSource>
  <cacheFields count="8">
    <cacheField name="Date" numFmtId="15">
      <sharedItems containsSemiMixedTypes="0" containsNonDate="0" containsDate="1" containsString="0" minDate="2025-01-02T00:00:00" maxDate="2025-04-09T00:00:00" count="49">
        <d v="2025-01-02T00:00:00"/>
        <d v="2025-01-04T00:00:00"/>
        <d v="2025-01-06T00:00:00"/>
        <d v="2025-01-08T00:00:00"/>
        <d v="2025-01-10T00:00:00"/>
        <d v="2025-01-12T00:00:00"/>
        <d v="2025-01-14T00:00:00"/>
        <d v="2025-01-16T00:00:00"/>
        <d v="2025-01-18T00:00:00"/>
        <d v="2025-01-20T00:00:00"/>
        <d v="2025-01-22T00:00:00"/>
        <d v="2025-01-24T00:00:00"/>
        <d v="2025-01-26T00:00:00"/>
        <d v="2025-01-28T00:00:00"/>
        <d v="2025-01-30T00:00:00"/>
        <d v="2025-02-01T00:00:00"/>
        <d v="2025-02-03T00:00:00"/>
        <d v="2025-02-05T00:00:00"/>
        <d v="2025-02-07T00:00:00"/>
        <d v="2025-02-09T00:00:00"/>
        <d v="2025-02-11T00:00:00"/>
        <d v="2025-02-13T00:00:00"/>
        <d v="2025-02-15T00:00:00"/>
        <d v="2025-02-17T00:00:00"/>
        <d v="2025-02-19T00:00:00"/>
        <d v="2025-02-21T00:00:00"/>
        <d v="2025-02-23T00:00:00"/>
        <d v="2025-02-25T00:00:00"/>
        <d v="2025-02-27T00:00:00"/>
        <d v="2025-03-01T00:00:00"/>
        <d v="2025-03-03T00:00:00"/>
        <d v="2025-03-05T00:00:00"/>
        <d v="2025-03-07T00:00:00"/>
        <d v="2025-03-09T00:00:00"/>
        <d v="2025-03-11T00:00:00"/>
        <d v="2025-03-13T00:00:00"/>
        <d v="2025-03-15T00:00:00"/>
        <d v="2025-03-17T00:00:00"/>
        <d v="2025-03-19T00:00:00"/>
        <d v="2025-03-21T00:00:00"/>
        <d v="2025-03-23T00:00:00"/>
        <d v="2025-03-25T00:00:00"/>
        <d v="2025-03-27T00:00:00"/>
        <d v="2025-03-29T00:00:00"/>
        <d v="2025-03-31T00:00:00"/>
        <d v="2025-04-02T00:00:00"/>
        <d v="2025-04-04T00:00:00"/>
        <d v="2025-04-06T00:00:00"/>
        <d v="2025-04-08T00:00:00"/>
      </sharedItems>
      <fieldGroup par="7"/>
    </cacheField>
    <cacheField name="Product" numFmtId="0">
      <sharedItems count="9">
        <s v="Laptop"/>
        <s v="Phone"/>
        <s v="Tablet"/>
        <s v="Airpods"/>
        <s v="Smart watch"/>
        <s v="Bluetooth speaker"/>
        <s v="Charger"/>
        <s v="Smart TV"/>
        <s v="Tabet"/>
      </sharedItems>
    </cacheField>
    <cacheField name="Region" numFmtId="0">
      <sharedItems count="8">
        <s v="Lagos"/>
        <s v="Abuja"/>
        <s v="Port Harcourt"/>
        <s v="Owerri"/>
        <s v="Ogun"/>
        <s v="Kaduna"/>
        <s v="Abia"/>
        <s v="Bayelsa"/>
      </sharedItems>
    </cacheField>
    <cacheField name="Salesperson" numFmtId="0">
      <sharedItems count="3">
        <s v="Tunde"/>
        <s v="Ada"/>
        <s v="Musa"/>
      </sharedItems>
    </cacheField>
    <cacheField name="Units Sold" numFmtId="0">
      <sharedItems containsSemiMixedTypes="0" containsString="0" containsNumber="1" containsInteger="1" minValue="1" maxValue="18"/>
    </cacheField>
    <cacheField name="Unit Price" numFmtId="164">
      <sharedItems containsSemiMixedTypes="0" containsString="0" containsNumber="1" containsInteger="1" minValue="15000" maxValue="3500000"/>
    </cacheField>
    <cacheField name="Revenue" numFmtId="164">
      <sharedItems containsSemiMixedTypes="0" containsString="0" containsNumber="1" containsInteger="1" minValue="60000" maxValue="59500000"/>
    </cacheField>
    <cacheField name="Months (Date)" numFmtId="0" databaseField="0">
      <fieldGroup base="0">
        <rangePr groupBy="months" startDate="2025-01-02T00:00:00" endDate="2025-04-09T00:00:00"/>
        <groupItems count="14">
          <s v="&lt;1/2/2025"/>
          <s v="Jan"/>
          <s v="Feb"/>
          <s v="Mar"/>
          <s v="Apr"/>
          <s v="May"/>
          <s v="Jun"/>
          <s v="Jul"/>
          <s v="Aug"/>
          <s v="Sep"/>
          <s v="Oct"/>
          <s v="Nov"/>
          <s v="Dec"/>
          <s v="&gt;4/9/2025"/>
        </groupItems>
      </fieldGroup>
    </cacheField>
  </cacheFields>
  <extLst>
    <ext xmlns:x14="http://schemas.microsoft.com/office/spreadsheetml/2009/9/main" uri="{725AE2AE-9491-48be-B2B4-4EB974FC3084}">
      <x14:pivotCacheDefinition pivotCacheId="1587784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n v="3"/>
    <n v="450000"/>
    <n v="1350000"/>
  </r>
  <r>
    <x v="1"/>
    <x v="1"/>
    <x v="1"/>
    <x v="1"/>
    <n v="5"/>
    <n v="220000"/>
    <n v="1100000"/>
  </r>
  <r>
    <x v="2"/>
    <x v="2"/>
    <x v="2"/>
    <x v="2"/>
    <n v="2"/>
    <n v="300000"/>
    <n v="600000"/>
  </r>
  <r>
    <x v="3"/>
    <x v="3"/>
    <x v="2"/>
    <x v="1"/>
    <n v="1"/>
    <n v="155000"/>
    <n v="155000"/>
  </r>
  <r>
    <x v="4"/>
    <x v="4"/>
    <x v="3"/>
    <x v="2"/>
    <n v="2"/>
    <n v="175000"/>
    <n v="350000"/>
  </r>
  <r>
    <x v="5"/>
    <x v="1"/>
    <x v="4"/>
    <x v="0"/>
    <n v="3"/>
    <n v="220000"/>
    <n v="660000"/>
  </r>
  <r>
    <x v="6"/>
    <x v="0"/>
    <x v="0"/>
    <x v="2"/>
    <n v="4"/>
    <n v="450000"/>
    <n v="1800000"/>
  </r>
  <r>
    <x v="7"/>
    <x v="0"/>
    <x v="5"/>
    <x v="0"/>
    <n v="5"/>
    <n v="450000"/>
    <n v="2250000"/>
  </r>
  <r>
    <x v="8"/>
    <x v="3"/>
    <x v="6"/>
    <x v="1"/>
    <n v="6"/>
    <n v="155000"/>
    <n v="930000"/>
  </r>
  <r>
    <x v="9"/>
    <x v="1"/>
    <x v="3"/>
    <x v="0"/>
    <n v="7"/>
    <n v="220000"/>
    <n v="1540000"/>
  </r>
  <r>
    <x v="10"/>
    <x v="1"/>
    <x v="3"/>
    <x v="1"/>
    <n v="8"/>
    <n v="220000"/>
    <n v="1760000"/>
  </r>
  <r>
    <x v="11"/>
    <x v="1"/>
    <x v="3"/>
    <x v="2"/>
    <n v="9"/>
    <n v="220000"/>
    <n v="1980000"/>
  </r>
  <r>
    <x v="12"/>
    <x v="2"/>
    <x v="2"/>
    <x v="1"/>
    <n v="10"/>
    <n v="300000"/>
    <n v="3000000"/>
  </r>
  <r>
    <x v="13"/>
    <x v="5"/>
    <x v="1"/>
    <x v="2"/>
    <n v="11"/>
    <n v="75000"/>
    <n v="825000"/>
  </r>
  <r>
    <x v="14"/>
    <x v="3"/>
    <x v="1"/>
    <x v="0"/>
    <n v="12"/>
    <n v="155000"/>
    <n v="1860000"/>
  </r>
  <r>
    <x v="15"/>
    <x v="6"/>
    <x v="2"/>
    <x v="2"/>
    <n v="13"/>
    <n v="15000"/>
    <n v="195000"/>
  </r>
  <r>
    <x v="16"/>
    <x v="7"/>
    <x v="3"/>
    <x v="0"/>
    <n v="14"/>
    <n v="3500000"/>
    <n v="49000000"/>
  </r>
  <r>
    <x v="17"/>
    <x v="1"/>
    <x v="7"/>
    <x v="1"/>
    <n v="15"/>
    <n v="220000"/>
    <n v="3300000"/>
  </r>
  <r>
    <x v="18"/>
    <x v="1"/>
    <x v="2"/>
    <x v="0"/>
    <n v="16"/>
    <n v="220000"/>
    <n v="3520000"/>
  </r>
  <r>
    <x v="19"/>
    <x v="1"/>
    <x v="3"/>
    <x v="1"/>
    <n v="17"/>
    <n v="220000"/>
    <n v="3740000"/>
  </r>
  <r>
    <x v="20"/>
    <x v="1"/>
    <x v="7"/>
    <x v="2"/>
    <n v="18"/>
    <n v="220000"/>
    <n v="3960000"/>
  </r>
  <r>
    <x v="21"/>
    <x v="7"/>
    <x v="2"/>
    <x v="1"/>
    <n v="17"/>
    <n v="3500000"/>
    <n v="59500000"/>
  </r>
  <r>
    <x v="22"/>
    <x v="0"/>
    <x v="3"/>
    <x v="2"/>
    <n v="16"/>
    <n v="450000"/>
    <n v="7200000"/>
  </r>
  <r>
    <x v="23"/>
    <x v="0"/>
    <x v="7"/>
    <x v="0"/>
    <n v="15"/>
    <n v="450000"/>
    <n v="6750000"/>
  </r>
  <r>
    <x v="24"/>
    <x v="0"/>
    <x v="2"/>
    <x v="2"/>
    <n v="14"/>
    <n v="450000"/>
    <n v="6300000"/>
  </r>
  <r>
    <x v="25"/>
    <x v="1"/>
    <x v="3"/>
    <x v="0"/>
    <n v="13"/>
    <n v="220000"/>
    <n v="2860000"/>
  </r>
  <r>
    <x v="26"/>
    <x v="4"/>
    <x v="7"/>
    <x v="1"/>
    <n v="12"/>
    <n v="175000"/>
    <n v="2100000"/>
  </r>
  <r>
    <x v="27"/>
    <x v="4"/>
    <x v="2"/>
    <x v="0"/>
    <n v="11"/>
    <n v="175000"/>
    <n v="1925000"/>
  </r>
  <r>
    <x v="28"/>
    <x v="2"/>
    <x v="3"/>
    <x v="1"/>
    <n v="10"/>
    <n v="300000"/>
    <n v="3000000"/>
  </r>
  <r>
    <x v="29"/>
    <x v="3"/>
    <x v="7"/>
    <x v="2"/>
    <n v="9"/>
    <n v="155000"/>
    <n v="1395000"/>
  </r>
  <r>
    <x v="30"/>
    <x v="1"/>
    <x v="2"/>
    <x v="2"/>
    <n v="8"/>
    <n v="220000"/>
    <n v="1760000"/>
  </r>
  <r>
    <x v="31"/>
    <x v="7"/>
    <x v="3"/>
    <x v="0"/>
    <n v="7"/>
    <n v="3500000"/>
    <n v="24500000"/>
  </r>
  <r>
    <x v="32"/>
    <x v="1"/>
    <x v="4"/>
    <x v="1"/>
    <n v="6"/>
    <n v="220000"/>
    <n v="1320000"/>
  </r>
  <r>
    <x v="33"/>
    <x v="5"/>
    <x v="0"/>
    <x v="1"/>
    <n v="5"/>
    <n v="75000"/>
    <n v="375000"/>
  </r>
  <r>
    <x v="34"/>
    <x v="6"/>
    <x v="2"/>
    <x v="2"/>
    <n v="4"/>
    <n v="15000"/>
    <n v="60000"/>
  </r>
  <r>
    <x v="35"/>
    <x v="7"/>
    <x v="3"/>
    <x v="0"/>
    <n v="3"/>
    <n v="3500000"/>
    <n v="10500000"/>
  </r>
  <r>
    <x v="36"/>
    <x v="1"/>
    <x v="4"/>
    <x v="0"/>
    <n v="2"/>
    <n v="220000"/>
    <n v="440000"/>
  </r>
  <r>
    <x v="37"/>
    <x v="3"/>
    <x v="0"/>
    <x v="1"/>
    <n v="1"/>
    <n v="155000"/>
    <n v="155000"/>
  </r>
  <r>
    <x v="38"/>
    <x v="4"/>
    <x v="2"/>
    <x v="2"/>
    <n v="2"/>
    <n v="175000"/>
    <n v="350000"/>
  </r>
  <r>
    <x v="39"/>
    <x v="0"/>
    <x v="3"/>
    <x v="1"/>
    <n v="3"/>
    <n v="450000"/>
    <n v="1350000"/>
  </r>
  <r>
    <x v="40"/>
    <x v="1"/>
    <x v="4"/>
    <x v="2"/>
    <n v="4"/>
    <n v="220000"/>
    <n v="880000"/>
  </r>
  <r>
    <x v="41"/>
    <x v="5"/>
    <x v="0"/>
    <x v="0"/>
    <n v="5"/>
    <n v="75000"/>
    <n v="375000"/>
  </r>
  <r>
    <x v="42"/>
    <x v="5"/>
    <x v="0"/>
    <x v="2"/>
    <n v="6"/>
    <n v="75000"/>
    <n v="450000"/>
  </r>
  <r>
    <x v="43"/>
    <x v="5"/>
    <x v="2"/>
    <x v="0"/>
    <n v="7"/>
    <n v="75000"/>
    <n v="525000"/>
  </r>
  <r>
    <x v="44"/>
    <x v="5"/>
    <x v="3"/>
    <x v="1"/>
    <n v="8"/>
    <n v="75000"/>
    <n v="600000"/>
  </r>
  <r>
    <x v="45"/>
    <x v="2"/>
    <x v="0"/>
    <x v="0"/>
    <n v="9"/>
    <n v="300000"/>
    <n v="2700000"/>
  </r>
  <r>
    <x v="46"/>
    <x v="8"/>
    <x v="5"/>
    <x v="1"/>
    <n v="10"/>
    <n v="300000"/>
    <n v="3000000"/>
  </r>
  <r>
    <x v="47"/>
    <x v="1"/>
    <x v="6"/>
    <x v="2"/>
    <n v="11"/>
    <n v="220000"/>
    <n v="2420000"/>
  </r>
  <r>
    <x v="48"/>
    <x v="1"/>
    <x v="3"/>
    <x v="1"/>
    <n v="12"/>
    <n v="220000"/>
    <n v="26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3DF86-D1EB-411E-AA78-A0F53FD8739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D1:E11" firstHeaderRow="1" firstDataRow="1" firstDataCol="1"/>
  <pivotFields count="8">
    <pivotField numFmtId="15"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10">
        <item sd="0" x="3"/>
        <item sd="0" x="5"/>
        <item sd="0" x="6"/>
        <item sd="0" x="0"/>
        <item sd="0" x="1"/>
        <item sd="0" x="7"/>
        <item sd="0" x="4"/>
        <item sd="0" x="8"/>
        <item sd="0" x="2"/>
        <item t="default"/>
      </items>
    </pivotField>
    <pivotField showAll="0">
      <items count="9">
        <item x="6"/>
        <item x="1"/>
        <item x="7"/>
        <item x="5"/>
        <item x="0"/>
        <item x="4"/>
        <item x="3"/>
        <item x="2"/>
        <item t="default"/>
      </items>
    </pivotField>
    <pivotField showAll="0">
      <items count="4">
        <item x="1"/>
        <item x="2"/>
        <item x="0"/>
        <item t="default"/>
      </items>
    </pivotField>
    <pivotField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1"/>
  </rowFields>
  <rowItems count="10">
    <i>
      <x/>
    </i>
    <i>
      <x v="1"/>
    </i>
    <i>
      <x v="2"/>
    </i>
    <i>
      <x v="3"/>
    </i>
    <i>
      <x v="4"/>
    </i>
    <i>
      <x v="5"/>
    </i>
    <i>
      <x v="6"/>
    </i>
    <i>
      <x v="7"/>
    </i>
    <i>
      <x v="8"/>
    </i>
    <i t="grand">
      <x/>
    </i>
  </rowItems>
  <colItems count="1">
    <i/>
  </colItems>
  <dataFields count="1">
    <dataField name="Sum of Revenue" fld="6" baseField="0" baseItem="0" numFmtId="164"/>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97B35C-44F2-45F7-9EC2-3FC951528E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B10" firstHeaderRow="1" firstDataRow="1" firstDataCol="1"/>
  <pivotFields count="8">
    <pivotField numFmtId="15"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10">
        <item sd="0" x="3"/>
        <item sd="0" x="5"/>
        <item sd="0" x="6"/>
        <item sd="0" x="0"/>
        <item sd="0" x="1"/>
        <item sd="0" x="7"/>
        <item sd="0" x="4"/>
        <item sd="0" x="8"/>
        <item sd="0" x="2"/>
        <item t="default"/>
      </items>
    </pivotField>
    <pivotField axis="axisRow" showAll="0">
      <items count="9">
        <item x="6"/>
        <item x="1"/>
        <item x="7"/>
        <item x="5"/>
        <item x="0"/>
        <item x="4"/>
        <item x="3"/>
        <item x="2"/>
        <item t="default"/>
      </items>
    </pivotField>
    <pivotField showAll="0">
      <items count="4">
        <item x="1"/>
        <item x="2"/>
        <item x="0"/>
        <item t="default"/>
      </items>
    </pivotField>
    <pivotField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Sum of Revenue"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7F1A54-8986-4FA8-A7E1-F78A17B9440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D14:E19" firstHeaderRow="1" firstDataRow="1" firstDataCol="1"/>
  <pivotFields count="8">
    <pivotField numFmtId="15"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10">
        <item sd="0" x="3"/>
        <item sd="0" x="5"/>
        <item sd="0" x="6"/>
        <item sd="0" x="0"/>
        <item sd="0" x="1"/>
        <item sd="0" x="7"/>
        <item sd="0" x="4"/>
        <item sd="0" x="8"/>
        <item sd="0" x="2"/>
        <item t="default"/>
      </items>
    </pivotField>
    <pivotField showAll="0">
      <items count="9">
        <item x="6"/>
        <item x="1"/>
        <item x="7"/>
        <item x="5"/>
        <item x="0"/>
        <item x="4"/>
        <item x="3"/>
        <item x="2"/>
        <item t="default"/>
      </items>
    </pivotField>
    <pivotField showAll="0">
      <items count="4">
        <item x="1"/>
        <item x="2"/>
        <item x="0"/>
        <item t="default"/>
      </items>
    </pivotField>
    <pivotField showAll="0"/>
    <pivotField numFmtId="164" showAll="0"/>
    <pivotField dataField="1" numFmtId="164" showAll="0"/>
    <pivotField axis="axisRow" showAll="0">
      <items count="15">
        <item x="0"/>
        <item x="1"/>
        <item x="2"/>
        <item x="3"/>
        <item x="4"/>
        <item x="5"/>
        <item x="6"/>
        <item x="7"/>
        <item x="8"/>
        <item x="9"/>
        <item x="10"/>
        <item x="11"/>
        <item x="12"/>
        <item x="13"/>
        <item t="default"/>
      </items>
    </pivotField>
  </pivotFields>
  <rowFields count="1">
    <field x="7"/>
  </rowFields>
  <rowItems count="5">
    <i>
      <x v="1"/>
    </i>
    <i>
      <x v="2"/>
    </i>
    <i>
      <x v="3"/>
    </i>
    <i>
      <x v="4"/>
    </i>
    <i t="grand">
      <x/>
    </i>
  </rowItems>
  <colItems count="1">
    <i/>
  </colItems>
  <dataFields count="1">
    <dataField name="Sum of Revenue" fld="6"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C59553-B62E-4624-B87A-6403FE73E9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person">
  <location ref="A14:B18" firstHeaderRow="1" firstDataRow="1" firstDataCol="1"/>
  <pivotFields count="8">
    <pivotField numFmtId="15"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10">
        <item sd="0" x="3"/>
        <item sd="0" x="5"/>
        <item sd="0" x="6"/>
        <item sd="0" x="0"/>
        <item sd="0" x="1"/>
        <item sd="0" x="7"/>
        <item sd="0" x="4"/>
        <item sd="0" x="8"/>
        <item sd="0" x="2"/>
        <item t="default"/>
      </items>
    </pivotField>
    <pivotField showAll="0">
      <items count="9">
        <item x="6"/>
        <item x="1"/>
        <item x="7"/>
        <item x="5"/>
        <item x="0"/>
        <item x="4"/>
        <item x="3"/>
        <item x="2"/>
        <item t="default"/>
      </items>
    </pivotField>
    <pivotField axis="axisRow" showAll="0">
      <items count="4">
        <item x="1"/>
        <item x="2"/>
        <item x="0"/>
        <item t="default"/>
      </items>
    </pivotField>
    <pivotField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Revenue" fld="6"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4AAB85-2947-4EF3-9415-B2C2F55D94B1}" sourceName="Region">
  <pivotTables>
    <pivotTable tabId="3" name="PivotTable8"/>
  </pivotTables>
  <data>
    <tabular pivotCacheId="1587784709">
      <items count="8">
        <i x="6" s="1"/>
        <i x="1" s="1"/>
        <i x="7" s="1"/>
        <i x="5"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0310CF0-9A33-4881-9826-FD96E301D81B}" sourceName="Product">
  <pivotTables>
    <pivotTable tabId="3" name="PivotTable9"/>
  </pivotTables>
  <data>
    <tabular pivotCacheId="1587784709">
      <items count="9">
        <i x="3" s="1"/>
        <i x="5" s="1"/>
        <i x="6" s="1"/>
        <i x="0" s="1"/>
        <i x="1" s="1"/>
        <i x="7" s="1"/>
        <i x="4" s="1"/>
        <i x="8"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591CFFA-A29C-4573-990F-484F582CE55B}" sourceName="Months (Date)">
  <pivotTables>
    <pivotTable tabId="3" name="PivotTable11"/>
  </pivotTables>
  <data>
    <tabular pivotCacheId="1587784709">
      <items count="14">
        <i x="1" s="1"/>
        <i x="2" s="1"/>
        <i x="3" s="1"/>
        <i x="4" s="1"/>
        <i x="5" s="1" nd="1"/>
        <i x="6" s="1" nd="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DE7FEEB-0D18-4D87-A4B6-32FCEAA86250}" sourceName="Salesperson">
  <pivotTables>
    <pivotTable tabId="3" name="PivotTable10"/>
  </pivotTables>
  <data>
    <tabular pivotCacheId="158778470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26482F-A8C7-48EE-B883-8C956D29ECF0}" cache="Slicer_Region" caption="Region" rowHeight="241300"/>
  <slicer name="Product" xr10:uid="{B7A00E9D-0FB1-4184-B617-B7541CBE422A}" cache="Slicer_Product" caption="Product" rowHeight="241300"/>
  <slicer name="Months (Date)" xr10:uid="{F1788955-AE8B-46F9-803D-ADBC95F891CA}" cache="Slicer_Months__Date" caption="Months (Date)" rowHeight="241300"/>
  <slicer name="Salesperson" xr10:uid="{17867283-61D1-44C3-A143-80164F7A1F79}"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1168B-9231-4AE7-B21C-BD9CCEF10924}" name="Sales_Data" displayName="Sales_Data" ref="A1:G50" totalsRowShown="0" headerRowDxfId="15">
  <autoFilter ref="A1:G50" xr:uid="{86B1168B-9231-4AE7-B21C-BD9CCEF10924}"/>
  <tableColumns count="7">
    <tableColumn id="1" xr3:uid="{643822F7-71FB-444D-96E7-07CC76999393}" name="Date" dataDxfId="14"/>
    <tableColumn id="2" xr3:uid="{C526E4FF-4905-4949-8CC2-082C4D2D82BD}" name="Product" dataDxfId="13"/>
    <tableColumn id="3" xr3:uid="{C0D217FA-431D-43C1-B072-690B09BA32F7}" name="Region" dataDxfId="12"/>
    <tableColumn id="4" xr3:uid="{28A60FFD-19CD-4CAA-AEDF-E1FAC894C024}" name="Salesperson" dataDxfId="11"/>
    <tableColumn id="5" xr3:uid="{52257987-442B-4F18-94B8-7983E7BB46A5}" name="Units Sold" dataDxfId="10"/>
    <tableColumn id="6" xr3:uid="{599ABC8A-0784-42DB-AA31-C5F4F303575C}" name="Unit Price" dataDxfId="9"/>
    <tableColumn id="7" xr3:uid="{0F98C7AA-81B8-420A-9E15-E3FF8B2C4BD4}" name="Revenue" dataDxfId="8">
      <calculatedColumnFormula>E2*F2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6FF179-229E-4FAA-A86F-21928B712C5A}" name="Sales_Data3" displayName="Sales_Data3" ref="A17:G66" totalsRowShown="0" headerRowDxfId="7">
  <autoFilter ref="A17:G66" xr:uid="{0D6FF179-229E-4FAA-A86F-21928B712C5A}"/>
  <tableColumns count="7">
    <tableColumn id="1" xr3:uid="{9DB43568-0AF1-420C-9BC2-F5A3ECC21718}" name="Date" dataDxfId="6"/>
    <tableColumn id="2" xr3:uid="{4FB4EF1F-878B-4AAB-A44E-D944C7C53A5D}" name="Product" dataDxfId="5"/>
    <tableColumn id="3" xr3:uid="{FB5CD2A1-099A-460C-B001-564C6753F264}" name="Region" dataDxfId="4"/>
    <tableColumn id="4" xr3:uid="{5CD7B184-E174-4CDD-B92A-4CB474DC616B}" name="Salesperson" dataDxfId="3"/>
    <tableColumn id="5" xr3:uid="{024E0E0D-088E-4592-A98B-B478C7701CB0}" name="Units Sold" dataDxfId="2"/>
    <tableColumn id="6" xr3:uid="{B183DE32-7306-4475-8375-0D8C6C02AD90}" name="Unit Price" dataDxfId="1"/>
    <tableColumn id="7" xr3:uid="{7B302287-8836-4766-AF3B-749FF28C8FF6}" name="Revenue" dataDxfId="0">
      <calculatedColumnFormula>E18*F18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BA33-8BA7-46B8-84A6-BA824A284E59}">
  <dimension ref="A1:L50"/>
  <sheetViews>
    <sheetView workbookViewId="0">
      <selection activeCell="I12" sqref="I12"/>
    </sheetView>
  </sheetViews>
  <sheetFormatPr defaultRowHeight="15" x14ac:dyDescent="0.25"/>
  <cols>
    <col min="1" max="1" width="14.28515625" customWidth="1"/>
    <col min="2" max="2" width="18.7109375" style="5" customWidth="1"/>
    <col min="3" max="3" width="16.7109375" customWidth="1"/>
    <col min="4" max="4" width="18" customWidth="1"/>
    <col min="5" max="5" width="14.5703125" bestFit="1" customWidth="1"/>
    <col min="6" max="6" width="17.5703125" customWidth="1"/>
    <col min="7" max="7" width="18.5703125" customWidth="1"/>
    <col min="11" max="11" width="19.140625" customWidth="1"/>
  </cols>
  <sheetData>
    <row r="1" spans="1:12" x14ac:dyDescent="0.25">
      <c r="A1" s="2" t="s">
        <v>0</v>
      </c>
      <c r="B1" s="2" t="s">
        <v>1</v>
      </c>
      <c r="C1" s="2" t="s">
        <v>2</v>
      </c>
      <c r="D1" s="2" t="s">
        <v>3</v>
      </c>
      <c r="E1" s="2" t="s">
        <v>4</v>
      </c>
      <c r="F1" s="2" t="s">
        <v>5</v>
      </c>
      <c r="G1" s="2" t="s">
        <v>6</v>
      </c>
    </row>
    <row r="2" spans="1:12" x14ac:dyDescent="0.25">
      <c r="A2" s="4">
        <v>45659</v>
      </c>
      <c r="B2" s="6" t="s">
        <v>7</v>
      </c>
      <c r="C2" s="3" t="s">
        <v>8</v>
      </c>
      <c r="D2" s="3" t="s">
        <v>9</v>
      </c>
      <c r="E2" s="1">
        <v>3</v>
      </c>
      <c r="F2" s="7">
        <v>450000</v>
      </c>
      <c r="G2" s="7">
        <f>E2*F2</f>
        <v>1350000</v>
      </c>
    </row>
    <row r="3" spans="1:12" x14ac:dyDescent="0.25">
      <c r="A3" s="4">
        <v>45661</v>
      </c>
      <c r="B3" s="6" t="s">
        <v>10</v>
      </c>
      <c r="C3" s="3" t="s">
        <v>11</v>
      </c>
      <c r="D3" s="3" t="s">
        <v>12</v>
      </c>
      <c r="E3" s="1">
        <v>5</v>
      </c>
      <c r="F3" s="7">
        <v>220000</v>
      </c>
      <c r="G3" s="7">
        <f t="shared" ref="G3:G50" si="0">E3*F3</f>
        <v>1100000</v>
      </c>
      <c r="K3" s="6"/>
      <c r="L3" s="3"/>
    </row>
    <row r="4" spans="1:12" x14ac:dyDescent="0.25">
      <c r="A4" s="4">
        <v>45663</v>
      </c>
      <c r="B4" s="6" t="s">
        <v>13</v>
      </c>
      <c r="C4" s="3" t="s">
        <v>14</v>
      </c>
      <c r="D4" s="3" t="s">
        <v>15</v>
      </c>
      <c r="E4" s="1">
        <v>2</v>
      </c>
      <c r="F4" s="7">
        <v>300000</v>
      </c>
      <c r="G4" s="7">
        <f t="shared" si="0"/>
        <v>600000</v>
      </c>
      <c r="K4" s="6"/>
      <c r="L4" s="3"/>
    </row>
    <row r="5" spans="1:12" x14ac:dyDescent="0.25">
      <c r="A5" s="4">
        <v>45665</v>
      </c>
      <c r="B5" s="6" t="s">
        <v>16</v>
      </c>
      <c r="C5" s="3" t="s">
        <v>14</v>
      </c>
      <c r="D5" s="3" t="s">
        <v>12</v>
      </c>
      <c r="E5" s="1">
        <v>1</v>
      </c>
      <c r="F5" s="7">
        <v>155000</v>
      </c>
      <c r="G5" s="7">
        <f t="shared" si="0"/>
        <v>155000</v>
      </c>
      <c r="K5" s="6"/>
      <c r="L5" s="3"/>
    </row>
    <row r="6" spans="1:12" x14ac:dyDescent="0.25">
      <c r="A6" s="4">
        <v>45667</v>
      </c>
      <c r="B6" s="6" t="s">
        <v>17</v>
      </c>
      <c r="C6" s="3" t="s">
        <v>23</v>
      </c>
      <c r="D6" s="3" t="s">
        <v>15</v>
      </c>
      <c r="E6" s="1">
        <v>2</v>
      </c>
      <c r="F6" s="7">
        <v>175000</v>
      </c>
      <c r="G6" s="7">
        <f t="shared" si="0"/>
        <v>350000</v>
      </c>
      <c r="K6" s="6"/>
      <c r="L6" s="3"/>
    </row>
    <row r="7" spans="1:12" x14ac:dyDescent="0.25">
      <c r="A7" s="4">
        <v>45669</v>
      </c>
      <c r="B7" s="6" t="s">
        <v>10</v>
      </c>
      <c r="C7" s="3" t="s">
        <v>24</v>
      </c>
      <c r="D7" s="3" t="s">
        <v>9</v>
      </c>
      <c r="E7" s="1">
        <v>3</v>
      </c>
      <c r="F7" s="7">
        <v>220000</v>
      </c>
      <c r="G7" s="7">
        <f t="shared" si="0"/>
        <v>660000</v>
      </c>
      <c r="K7" s="6"/>
      <c r="L7" s="3"/>
    </row>
    <row r="8" spans="1:12" x14ac:dyDescent="0.25">
      <c r="A8" s="4">
        <v>45671</v>
      </c>
      <c r="B8" s="6" t="s">
        <v>7</v>
      </c>
      <c r="C8" s="3" t="s">
        <v>8</v>
      </c>
      <c r="D8" s="3" t="s">
        <v>15</v>
      </c>
      <c r="E8" s="1">
        <v>4</v>
      </c>
      <c r="F8" s="7">
        <v>450000</v>
      </c>
      <c r="G8" s="7">
        <f t="shared" si="0"/>
        <v>1800000</v>
      </c>
      <c r="K8" s="6"/>
      <c r="L8" s="3"/>
    </row>
    <row r="9" spans="1:12" x14ac:dyDescent="0.25">
      <c r="A9" s="4">
        <v>45673</v>
      </c>
      <c r="B9" s="6" t="s">
        <v>7</v>
      </c>
      <c r="C9" s="3" t="s">
        <v>25</v>
      </c>
      <c r="D9" s="3" t="s">
        <v>9</v>
      </c>
      <c r="E9" s="1">
        <v>5</v>
      </c>
      <c r="F9" s="7">
        <v>450000</v>
      </c>
      <c r="G9" s="7">
        <f t="shared" si="0"/>
        <v>2250000</v>
      </c>
      <c r="K9" s="6"/>
      <c r="L9" s="3"/>
    </row>
    <row r="10" spans="1:12" x14ac:dyDescent="0.25">
      <c r="A10" s="4">
        <v>45675</v>
      </c>
      <c r="B10" s="6" t="s">
        <v>16</v>
      </c>
      <c r="C10" s="3" t="s">
        <v>26</v>
      </c>
      <c r="D10" s="3" t="s">
        <v>12</v>
      </c>
      <c r="E10" s="1">
        <v>6</v>
      </c>
      <c r="F10" s="7">
        <v>155000</v>
      </c>
      <c r="G10" s="7">
        <f t="shared" si="0"/>
        <v>930000</v>
      </c>
      <c r="K10" s="6"/>
      <c r="L10" s="3"/>
    </row>
    <row r="11" spans="1:12" x14ac:dyDescent="0.25">
      <c r="A11" s="4">
        <v>45677</v>
      </c>
      <c r="B11" s="6" t="s">
        <v>10</v>
      </c>
      <c r="C11" t="s">
        <v>23</v>
      </c>
      <c r="D11" s="3" t="s">
        <v>9</v>
      </c>
      <c r="E11" s="1">
        <v>7</v>
      </c>
      <c r="F11" s="7">
        <v>220000</v>
      </c>
      <c r="G11" s="7">
        <f t="shared" si="0"/>
        <v>1540000</v>
      </c>
    </row>
    <row r="12" spans="1:12" x14ac:dyDescent="0.25">
      <c r="A12" s="4">
        <v>45679</v>
      </c>
      <c r="B12" s="6" t="s">
        <v>10</v>
      </c>
      <c r="C12" t="s">
        <v>23</v>
      </c>
      <c r="D12" s="3" t="s">
        <v>12</v>
      </c>
      <c r="E12" s="1">
        <v>8</v>
      </c>
      <c r="F12" s="7">
        <v>220000</v>
      </c>
      <c r="G12" s="7">
        <f t="shared" si="0"/>
        <v>1760000</v>
      </c>
    </row>
    <row r="13" spans="1:12" x14ac:dyDescent="0.25">
      <c r="A13" s="4">
        <v>45681</v>
      </c>
      <c r="B13" s="6" t="s">
        <v>10</v>
      </c>
      <c r="C13" t="s">
        <v>23</v>
      </c>
      <c r="D13" s="3" t="s">
        <v>15</v>
      </c>
      <c r="E13" s="1">
        <v>9</v>
      </c>
      <c r="F13" s="7">
        <v>220000</v>
      </c>
      <c r="G13" s="7">
        <f t="shared" si="0"/>
        <v>1980000</v>
      </c>
    </row>
    <row r="14" spans="1:12" x14ac:dyDescent="0.25">
      <c r="A14" s="4">
        <v>45683</v>
      </c>
      <c r="B14" s="6" t="s">
        <v>13</v>
      </c>
      <c r="C14" t="s">
        <v>14</v>
      </c>
      <c r="D14" s="3" t="s">
        <v>12</v>
      </c>
      <c r="E14" s="1">
        <v>10</v>
      </c>
      <c r="F14" s="7">
        <v>300000</v>
      </c>
      <c r="G14" s="7">
        <f t="shared" si="0"/>
        <v>3000000</v>
      </c>
    </row>
    <row r="15" spans="1:12" x14ac:dyDescent="0.25">
      <c r="A15" s="4">
        <v>45685</v>
      </c>
      <c r="B15" s="6" t="s">
        <v>18</v>
      </c>
      <c r="C15" t="s">
        <v>11</v>
      </c>
      <c r="D15" s="3" t="s">
        <v>15</v>
      </c>
      <c r="E15" s="1">
        <v>11</v>
      </c>
      <c r="F15" s="7">
        <v>75000</v>
      </c>
      <c r="G15" s="7">
        <f t="shared" si="0"/>
        <v>825000</v>
      </c>
    </row>
    <row r="16" spans="1:12" x14ac:dyDescent="0.25">
      <c r="A16" s="4">
        <v>45687</v>
      </c>
      <c r="B16" s="6" t="s">
        <v>16</v>
      </c>
      <c r="C16" t="s">
        <v>11</v>
      </c>
      <c r="D16" s="3" t="s">
        <v>9</v>
      </c>
      <c r="E16" s="1">
        <v>12</v>
      </c>
      <c r="F16" s="7">
        <v>155000</v>
      </c>
      <c r="G16" s="7">
        <f t="shared" si="0"/>
        <v>1860000</v>
      </c>
    </row>
    <row r="17" spans="1:7" x14ac:dyDescent="0.25">
      <c r="A17" s="4">
        <v>45689</v>
      </c>
      <c r="B17" s="6" t="s">
        <v>19</v>
      </c>
      <c r="C17" t="s">
        <v>14</v>
      </c>
      <c r="D17" s="3" t="s">
        <v>15</v>
      </c>
      <c r="E17" s="1">
        <v>13</v>
      </c>
      <c r="F17" s="7">
        <v>15000</v>
      </c>
      <c r="G17" s="7">
        <f t="shared" si="0"/>
        <v>195000</v>
      </c>
    </row>
    <row r="18" spans="1:7" x14ac:dyDescent="0.25">
      <c r="A18" s="4">
        <v>45691</v>
      </c>
      <c r="B18" s="6" t="s">
        <v>20</v>
      </c>
      <c r="C18" t="s">
        <v>23</v>
      </c>
      <c r="D18" s="3" t="s">
        <v>9</v>
      </c>
      <c r="E18" s="1">
        <v>14</v>
      </c>
      <c r="F18" s="7">
        <v>3500000</v>
      </c>
      <c r="G18" s="7">
        <f t="shared" si="0"/>
        <v>49000000</v>
      </c>
    </row>
    <row r="19" spans="1:7" x14ac:dyDescent="0.25">
      <c r="A19" s="4">
        <v>45693</v>
      </c>
      <c r="B19" s="6" t="s">
        <v>10</v>
      </c>
      <c r="C19" t="s">
        <v>27</v>
      </c>
      <c r="D19" s="3" t="s">
        <v>12</v>
      </c>
      <c r="E19" s="1">
        <v>15</v>
      </c>
      <c r="F19" s="7">
        <v>220000</v>
      </c>
      <c r="G19" s="7">
        <f t="shared" si="0"/>
        <v>3300000</v>
      </c>
    </row>
    <row r="20" spans="1:7" x14ac:dyDescent="0.25">
      <c r="A20" s="4">
        <v>45695</v>
      </c>
      <c r="B20" s="6" t="s">
        <v>10</v>
      </c>
      <c r="C20" t="s">
        <v>14</v>
      </c>
      <c r="D20" s="3" t="s">
        <v>9</v>
      </c>
      <c r="E20" s="1">
        <v>16</v>
      </c>
      <c r="F20" s="7">
        <v>220000</v>
      </c>
      <c r="G20" s="7">
        <f t="shared" si="0"/>
        <v>3520000</v>
      </c>
    </row>
    <row r="21" spans="1:7" x14ac:dyDescent="0.25">
      <c r="A21" s="4">
        <v>45697</v>
      </c>
      <c r="B21" s="6" t="s">
        <v>10</v>
      </c>
      <c r="C21" t="s">
        <v>23</v>
      </c>
      <c r="D21" s="3" t="s">
        <v>12</v>
      </c>
      <c r="E21" s="1">
        <v>17</v>
      </c>
      <c r="F21" s="7">
        <v>220000</v>
      </c>
      <c r="G21" s="7">
        <f t="shared" si="0"/>
        <v>3740000</v>
      </c>
    </row>
    <row r="22" spans="1:7" x14ac:dyDescent="0.25">
      <c r="A22" s="4">
        <v>45699</v>
      </c>
      <c r="B22" s="6" t="s">
        <v>10</v>
      </c>
      <c r="C22" t="s">
        <v>27</v>
      </c>
      <c r="D22" s="3" t="s">
        <v>15</v>
      </c>
      <c r="E22" s="1">
        <v>18</v>
      </c>
      <c r="F22" s="7">
        <v>220000</v>
      </c>
      <c r="G22" s="7">
        <f t="shared" si="0"/>
        <v>3960000</v>
      </c>
    </row>
    <row r="23" spans="1:7" x14ac:dyDescent="0.25">
      <c r="A23" s="4">
        <v>45701</v>
      </c>
      <c r="B23" s="6" t="s">
        <v>21</v>
      </c>
      <c r="C23" t="s">
        <v>14</v>
      </c>
      <c r="D23" s="3" t="s">
        <v>12</v>
      </c>
      <c r="E23" s="1">
        <v>17</v>
      </c>
      <c r="F23" s="7">
        <v>3500000</v>
      </c>
      <c r="G23" s="7">
        <f t="shared" si="0"/>
        <v>59500000</v>
      </c>
    </row>
    <row r="24" spans="1:7" x14ac:dyDescent="0.25">
      <c r="A24" s="4">
        <v>45703</v>
      </c>
      <c r="B24" s="6" t="s">
        <v>7</v>
      </c>
      <c r="C24" t="s">
        <v>23</v>
      </c>
      <c r="D24" s="3" t="s">
        <v>15</v>
      </c>
      <c r="E24" s="1">
        <v>16</v>
      </c>
      <c r="F24" s="7">
        <v>450000</v>
      </c>
      <c r="G24" s="7">
        <f t="shared" si="0"/>
        <v>7200000</v>
      </c>
    </row>
    <row r="25" spans="1:7" x14ac:dyDescent="0.25">
      <c r="A25" s="4">
        <v>45705</v>
      </c>
      <c r="B25" s="6" t="s">
        <v>7</v>
      </c>
      <c r="C25" t="s">
        <v>27</v>
      </c>
      <c r="D25" s="3" t="s">
        <v>9</v>
      </c>
      <c r="E25" s="1">
        <v>15</v>
      </c>
      <c r="F25" s="7">
        <v>450000</v>
      </c>
      <c r="G25" s="7">
        <f t="shared" si="0"/>
        <v>6750000</v>
      </c>
    </row>
    <row r="26" spans="1:7" x14ac:dyDescent="0.25">
      <c r="A26" s="4">
        <v>45707</v>
      </c>
      <c r="B26" s="6" t="s">
        <v>7</v>
      </c>
      <c r="C26" t="s">
        <v>14</v>
      </c>
      <c r="D26" s="3" t="s">
        <v>15</v>
      </c>
      <c r="E26" s="1">
        <v>14</v>
      </c>
      <c r="F26" s="7">
        <v>450000</v>
      </c>
      <c r="G26" s="7">
        <f t="shared" si="0"/>
        <v>6300000</v>
      </c>
    </row>
    <row r="27" spans="1:7" x14ac:dyDescent="0.25">
      <c r="A27" s="4">
        <v>45709</v>
      </c>
      <c r="B27" s="6" t="s">
        <v>10</v>
      </c>
      <c r="C27" t="s">
        <v>23</v>
      </c>
      <c r="D27" s="3" t="s">
        <v>9</v>
      </c>
      <c r="E27" s="1">
        <v>13</v>
      </c>
      <c r="F27" s="7">
        <v>220000</v>
      </c>
      <c r="G27" s="7">
        <f t="shared" si="0"/>
        <v>2860000</v>
      </c>
    </row>
    <row r="28" spans="1:7" x14ac:dyDescent="0.25">
      <c r="A28" s="4">
        <v>45711</v>
      </c>
      <c r="B28" s="6" t="s">
        <v>17</v>
      </c>
      <c r="C28" t="s">
        <v>27</v>
      </c>
      <c r="D28" s="3" t="s">
        <v>12</v>
      </c>
      <c r="E28" s="1">
        <v>12</v>
      </c>
      <c r="F28" s="7">
        <v>175000</v>
      </c>
      <c r="G28" s="7">
        <f t="shared" si="0"/>
        <v>2100000</v>
      </c>
    </row>
    <row r="29" spans="1:7" x14ac:dyDescent="0.25">
      <c r="A29" s="4">
        <v>45713</v>
      </c>
      <c r="B29" s="6" t="s">
        <v>17</v>
      </c>
      <c r="C29" t="s">
        <v>14</v>
      </c>
      <c r="D29" s="3" t="s">
        <v>9</v>
      </c>
      <c r="E29" s="1">
        <v>11</v>
      </c>
      <c r="F29" s="7">
        <v>175000</v>
      </c>
      <c r="G29" s="7">
        <f t="shared" si="0"/>
        <v>1925000</v>
      </c>
    </row>
    <row r="30" spans="1:7" x14ac:dyDescent="0.25">
      <c r="A30" s="4">
        <v>45715</v>
      </c>
      <c r="B30" s="6" t="s">
        <v>13</v>
      </c>
      <c r="C30" t="s">
        <v>23</v>
      </c>
      <c r="D30" s="3" t="s">
        <v>12</v>
      </c>
      <c r="E30" s="1">
        <v>10</v>
      </c>
      <c r="F30" s="7">
        <v>300000</v>
      </c>
      <c r="G30" s="7">
        <f t="shared" si="0"/>
        <v>3000000</v>
      </c>
    </row>
    <row r="31" spans="1:7" x14ac:dyDescent="0.25">
      <c r="A31" s="4">
        <v>45717</v>
      </c>
      <c r="B31" s="6" t="s">
        <v>16</v>
      </c>
      <c r="C31" t="s">
        <v>27</v>
      </c>
      <c r="D31" s="3" t="s">
        <v>15</v>
      </c>
      <c r="E31" s="1">
        <v>9</v>
      </c>
      <c r="F31" s="7">
        <v>155000</v>
      </c>
      <c r="G31" s="7">
        <f t="shared" si="0"/>
        <v>1395000</v>
      </c>
    </row>
    <row r="32" spans="1:7" x14ac:dyDescent="0.25">
      <c r="A32" s="4">
        <v>45719</v>
      </c>
      <c r="B32" s="6" t="s">
        <v>10</v>
      </c>
      <c r="C32" s="3" t="s">
        <v>14</v>
      </c>
      <c r="D32" s="3" t="s">
        <v>15</v>
      </c>
      <c r="E32" s="1">
        <v>8</v>
      </c>
      <c r="F32" s="7">
        <v>220000</v>
      </c>
      <c r="G32" s="7">
        <f t="shared" si="0"/>
        <v>1760000</v>
      </c>
    </row>
    <row r="33" spans="1:7" x14ac:dyDescent="0.25">
      <c r="A33" s="4">
        <v>45721</v>
      </c>
      <c r="B33" s="6" t="s">
        <v>21</v>
      </c>
      <c r="C33" s="3" t="s">
        <v>23</v>
      </c>
      <c r="D33" s="3" t="s">
        <v>9</v>
      </c>
      <c r="E33" s="1">
        <v>7</v>
      </c>
      <c r="F33" s="7">
        <v>3500000</v>
      </c>
      <c r="G33" s="7">
        <f t="shared" si="0"/>
        <v>24500000</v>
      </c>
    </row>
    <row r="34" spans="1:7" x14ac:dyDescent="0.25">
      <c r="A34" s="4">
        <v>45723</v>
      </c>
      <c r="B34" s="6" t="s">
        <v>10</v>
      </c>
      <c r="C34" s="3" t="s">
        <v>24</v>
      </c>
      <c r="D34" s="3" t="s">
        <v>12</v>
      </c>
      <c r="E34" s="1">
        <v>6</v>
      </c>
      <c r="F34" s="7">
        <v>220000</v>
      </c>
      <c r="G34" s="7">
        <f t="shared" si="0"/>
        <v>1320000</v>
      </c>
    </row>
    <row r="35" spans="1:7" x14ac:dyDescent="0.25">
      <c r="A35" s="4">
        <v>45725</v>
      </c>
      <c r="B35" s="6" t="s">
        <v>18</v>
      </c>
      <c r="C35" s="3" t="s">
        <v>8</v>
      </c>
      <c r="D35" s="3" t="s">
        <v>12</v>
      </c>
      <c r="E35" s="1">
        <v>5</v>
      </c>
      <c r="F35" s="7">
        <v>75000</v>
      </c>
      <c r="G35" s="7">
        <f t="shared" si="0"/>
        <v>375000</v>
      </c>
    </row>
    <row r="36" spans="1:7" x14ac:dyDescent="0.25">
      <c r="A36" s="4">
        <v>45727</v>
      </c>
      <c r="B36" s="6" t="s">
        <v>19</v>
      </c>
      <c r="C36" s="3" t="s">
        <v>14</v>
      </c>
      <c r="D36" s="3" t="s">
        <v>15</v>
      </c>
      <c r="E36" s="1">
        <v>4</v>
      </c>
      <c r="F36" s="7">
        <v>15000</v>
      </c>
      <c r="G36" s="7">
        <f t="shared" si="0"/>
        <v>60000</v>
      </c>
    </row>
    <row r="37" spans="1:7" x14ac:dyDescent="0.25">
      <c r="A37" s="4">
        <v>45729</v>
      </c>
      <c r="B37" s="6" t="s">
        <v>20</v>
      </c>
      <c r="C37" s="3" t="s">
        <v>23</v>
      </c>
      <c r="D37" s="3" t="s">
        <v>9</v>
      </c>
      <c r="E37" s="1">
        <v>3</v>
      </c>
      <c r="F37" s="7">
        <v>3500000</v>
      </c>
      <c r="G37" s="7">
        <f t="shared" si="0"/>
        <v>10500000</v>
      </c>
    </row>
    <row r="38" spans="1:7" x14ac:dyDescent="0.25">
      <c r="A38" s="4">
        <v>45731</v>
      </c>
      <c r="B38" s="6" t="s">
        <v>10</v>
      </c>
      <c r="C38" s="3" t="s">
        <v>24</v>
      </c>
      <c r="D38" s="3" t="s">
        <v>9</v>
      </c>
      <c r="E38" s="1">
        <v>2</v>
      </c>
      <c r="F38" s="7">
        <v>220000</v>
      </c>
      <c r="G38" s="7">
        <f t="shared" si="0"/>
        <v>440000</v>
      </c>
    </row>
    <row r="39" spans="1:7" x14ac:dyDescent="0.25">
      <c r="A39" s="4">
        <v>45733</v>
      </c>
      <c r="B39" s="6" t="s">
        <v>16</v>
      </c>
      <c r="C39" s="3" t="s">
        <v>8</v>
      </c>
      <c r="D39" s="3" t="s">
        <v>12</v>
      </c>
      <c r="E39" s="1">
        <v>1</v>
      </c>
      <c r="F39" s="7">
        <v>155000</v>
      </c>
      <c r="G39" s="7">
        <f t="shared" si="0"/>
        <v>155000</v>
      </c>
    </row>
    <row r="40" spans="1:7" x14ac:dyDescent="0.25">
      <c r="A40" s="4">
        <v>45735</v>
      </c>
      <c r="B40" s="6" t="s">
        <v>17</v>
      </c>
      <c r="C40" s="3" t="s">
        <v>14</v>
      </c>
      <c r="D40" s="3" t="s">
        <v>15</v>
      </c>
      <c r="E40" s="1">
        <v>2</v>
      </c>
      <c r="F40" s="7">
        <v>175000</v>
      </c>
      <c r="G40" s="7">
        <f t="shared" si="0"/>
        <v>350000</v>
      </c>
    </row>
    <row r="41" spans="1:7" x14ac:dyDescent="0.25">
      <c r="A41" s="4">
        <v>45737</v>
      </c>
      <c r="B41" s="6" t="s">
        <v>7</v>
      </c>
      <c r="C41" s="3" t="s">
        <v>23</v>
      </c>
      <c r="D41" s="3" t="s">
        <v>12</v>
      </c>
      <c r="E41" s="1">
        <v>3</v>
      </c>
      <c r="F41" s="7">
        <v>450000</v>
      </c>
      <c r="G41" s="7">
        <f t="shared" si="0"/>
        <v>1350000</v>
      </c>
    </row>
    <row r="42" spans="1:7" x14ac:dyDescent="0.25">
      <c r="A42" s="4">
        <v>45739</v>
      </c>
      <c r="B42" s="6" t="s">
        <v>10</v>
      </c>
      <c r="C42" s="3" t="s">
        <v>24</v>
      </c>
      <c r="D42" s="3" t="s">
        <v>15</v>
      </c>
      <c r="E42" s="1">
        <v>4</v>
      </c>
      <c r="F42" s="7">
        <v>220000</v>
      </c>
      <c r="G42" s="7">
        <f t="shared" si="0"/>
        <v>880000</v>
      </c>
    </row>
    <row r="43" spans="1:7" x14ac:dyDescent="0.25">
      <c r="A43" s="4">
        <v>45741</v>
      </c>
      <c r="B43" s="6" t="s">
        <v>18</v>
      </c>
      <c r="C43" s="3" t="s">
        <v>8</v>
      </c>
      <c r="D43" s="3" t="s">
        <v>9</v>
      </c>
      <c r="E43" s="1">
        <v>5</v>
      </c>
      <c r="F43" s="7">
        <v>75000</v>
      </c>
      <c r="G43" s="7">
        <f t="shared" si="0"/>
        <v>375000</v>
      </c>
    </row>
    <row r="44" spans="1:7" x14ac:dyDescent="0.25">
      <c r="A44" s="4">
        <v>45743</v>
      </c>
      <c r="B44" s="6" t="s">
        <v>18</v>
      </c>
      <c r="C44" s="3" t="s">
        <v>8</v>
      </c>
      <c r="D44" s="3" t="s">
        <v>15</v>
      </c>
      <c r="E44" s="1">
        <v>6</v>
      </c>
      <c r="F44" s="7">
        <v>75000</v>
      </c>
      <c r="G44" s="7">
        <f t="shared" si="0"/>
        <v>450000</v>
      </c>
    </row>
    <row r="45" spans="1:7" x14ac:dyDescent="0.25">
      <c r="A45" s="4">
        <v>45745</v>
      </c>
      <c r="B45" s="6" t="s">
        <v>18</v>
      </c>
      <c r="C45" s="3" t="s">
        <v>14</v>
      </c>
      <c r="D45" s="3" t="s">
        <v>9</v>
      </c>
      <c r="E45" s="1">
        <v>7</v>
      </c>
      <c r="F45" s="7">
        <v>75000</v>
      </c>
      <c r="G45" s="7">
        <f t="shared" si="0"/>
        <v>525000</v>
      </c>
    </row>
    <row r="46" spans="1:7" x14ac:dyDescent="0.25">
      <c r="A46" s="4">
        <v>45747</v>
      </c>
      <c r="B46" s="6" t="s">
        <v>18</v>
      </c>
      <c r="C46" s="3" t="s">
        <v>23</v>
      </c>
      <c r="D46" s="3" t="s">
        <v>12</v>
      </c>
      <c r="E46" s="1">
        <v>8</v>
      </c>
      <c r="F46" s="7">
        <v>75000</v>
      </c>
      <c r="G46" s="7">
        <f t="shared" si="0"/>
        <v>600000</v>
      </c>
    </row>
    <row r="47" spans="1:7" x14ac:dyDescent="0.25">
      <c r="A47" s="4">
        <v>45749</v>
      </c>
      <c r="B47" s="6" t="s">
        <v>13</v>
      </c>
      <c r="C47" s="3" t="s">
        <v>8</v>
      </c>
      <c r="D47" s="3" t="s">
        <v>9</v>
      </c>
      <c r="E47" s="1">
        <v>9</v>
      </c>
      <c r="F47" s="7">
        <v>300000</v>
      </c>
      <c r="G47" s="7">
        <f t="shared" si="0"/>
        <v>2700000</v>
      </c>
    </row>
    <row r="48" spans="1:7" x14ac:dyDescent="0.25">
      <c r="A48" s="4">
        <v>45751</v>
      </c>
      <c r="B48" s="6" t="s">
        <v>22</v>
      </c>
      <c r="C48" s="3" t="s">
        <v>25</v>
      </c>
      <c r="D48" s="3" t="s">
        <v>12</v>
      </c>
      <c r="E48" s="1">
        <v>10</v>
      </c>
      <c r="F48" s="7">
        <v>300000</v>
      </c>
      <c r="G48" s="7">
        <f t="shared" si="0"/>
        <v>3000000</v>
      </c>
    </row>
    <row r="49" spans="1:7" x14ac:dyDescent="0.25">
      <c r="A49" s="4">
        <v>45753</v>
      </c>
      <c r="B49" s="6" t="s">
        <v>10</v>
      </c>
      <c r="C49" s="3" t="s">
        <v>26</v>
      </c>
      <c r="D49" s="3" t="s">
        <v>15</v>
      </c>
      <c r="E49" s="1">
        <v>11</v>
      </c>
      <c r="F49" s="7">
        <v>220000</v>
      </c>
      <c r="G49" s="7">
        <f t="shared" si="0"/>
        <v>2420000</v>
      </c>
    </row>
    <row r="50" spans="1:7" x14ac:dyDescent="0.25">
      <c r="A50" s="4">
        <v>45755</v>
      </c>
      <c r="B50" s="6" t="s">
        <v>10</v>
      </c>
      <c r="C50" t="s">
        <v>23</v>
      </c>
      <c r="D50" s="3" t="s">
        <v>12</v>
      </c>
      <c r="E50" s="1">
        <v>12</v>
      </c>
      <c r="F50" s="7">
        <v>220000</v>
      </c>
      <c r="G50" s="7">
        <f t="shared" si="0"/>
        <v>2640000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D325-8B1D-438F-AC96-7B1ABED20EEB}">
  <dimension ref="A1:G30"/>
  <sheetViews>
    <sheetView workbookViewId="0">
      <selection activeCell="G14" sqref="G14"/>
    </sheetView>
  </sheetViews>
  <sheetFormatPr defaultRowHeight="15" x14ac:dyDescent="0.25"/>
  <cols>
    <col min="1" max="1" width="12.7109375" bestFit="1" customWidth="1"/>
    <col min="2" max="2" width="16.7109375" bestFit="1" customWidth="1"/>
    <col min="3" max="3" width="13.140625" customWidth="1"/>
    <col min="4" max="4" width="11.28515625" bestFit="1" customWidth="1"/>
    <col min="5" max="5" width="16.7109375" bestFit="1" customWidth="1"/>
    <col min="7" max="7" width="21.85546875" bestFit="1" customWidth="1"/>
    <col min="8" max="8" width="16.7109375" bestFit="1" customWidth="1"/>
    <col min="10" max="10" width="25.140625" bestFit="1" customWidth="1"/>
    <col min="11" max="11" width="16.7109375" bestFit="1" customWidth="1"/>
  </cols>
  <sheetData>
    <row r="1" spans="1:7" x14ac:dyDescent="0.25">
      <c r="A1" s="8" t="s">
        <v>2</v>
      </c>
      <c r="B1" t="s">
        <v>33</v>
      </c>
      <c r="D1" s="8" t="s">
        <v>1</v>
      </c>
      <c r="E1" t="s">
        <v>33</v>
      </c>
    </row>
    <row r="2" spans="1:7" x14ac:dyDescent="0.25">
      <c r="A2" s="9" t="s">
        <v>26</v>
      </c>
      <c r="B2" s="10">
        <v>3350000</v>
      </c>
      <c r="D2" s="9" t="s">
        <v>16</v>
      </c>
      <c r="E2" s="10">
        <v>4495000</v>
      </c>
    </row>
    <row r="3" spans="1:7" x14ac:dyDescent="0.25">
      <c r="A3" s="9" t="s">
        <v>11</v>
      </c>
      <c r="B3" s="10">
        <v>3785000</v>
      </c>
      <c r="D3" s="9" t="s">
        <v>18</v>
      </c>
      <c r="E3" s="10">
        <v>3150000</v>
      </c>
    </row>
    <row r="4" spans="1:7" x14ac:dyDescent="0.25">
      <c r="A4" s="9" t="s">
        <v>27</v>
      </c>
      <c r="B4" s="10">
        <v>17505000</v>
      </c>
      <c r="D4" s="9" t="s">
        <v>19</v>
      </c>
      <c r="E4" s="10">
        <v>255000</v>
      </c>
    </row>
    <row r="5" spans="1:7" x14ac:dyDescent="0.25">
      <c r="A5" s="9" t="s">
        <v>25</v>
      </c>
      <c r="B5" s="10">
        <v>5250000</v>
      </c>
      <c r="D5" s="9" t="s">
        <v>7</v>
      </c>
      <c r="E5" s="10">
        <v>27000000</v>
      </c>
    </row>
    <row r="6" spans="1:7" x14ac:dyDescent="0.25">
      <c r="A6" s="9" t="s">
        <v>8</v>
      </c>
      <c r="B6" s="10">
        <v>7205000</v>
      </c>
      <c r="D6" s="9" t="s">
        <v>10</v>
      </c>
      <c r="E6" s="10">
        <v>33880000</v>
      </c>
    </row>
    <row r="7" spans="1:7" x14ac:dyDescent="0.25">
      <c r="A7" s="9" t="s">
        <v>24</v>
      </c>
      <c r="B7" s="10">
        <v>3300000</v>
      </c>
      <c r="D7" s="9" t="s">
        <v>20</v>
      </c>
      <c r="E7" s="10">
        <v>143500000</v>
      </c>
    </row>
    <row r="8" spans="1:7" x14ac:dyDescent="0.25">
      <c r="A8" s="9" t="s">
        <v>23</v>
      </c>
      <c r="B8" s="10">
        <v>111020000</v>
      </c>
      <c r="D8" s="9" t="s">
        <v>17</v>
      </c>
      <c r="E8" s="10">
        <v>4725000</v>
      </c>
    </row>
    <row r="9" spans="1:7" x14ac:dyDescent="0.25">
      <c r="A9" s="9" t="s">
        <v>14</v>
      </c>
      <c r="B9" s="10">
        <v>77890000</v>
      </c>
      <c r="D9" s="9" t="s">
        <v>22</v>
      </c>
      <c r="E9" s="10">
        <v>3000000</v>
      </c>
    </row>
    <row r="10" spans="1:7" x14ac:dyDescent="0.25">
      <c r="A10" s="9" t="s">
        <v>28</v>
      </c>
      <c r="B10" s="10">
        <v>229305000</v>
      </c>
      <c r="D10" s="9" t="s">
        <v>13</v>
      </c>
      <c r="E10" s="10">
        <v>9300000</v>
      </c>
    </row>
    <row r="11" spans="1:7" x14ac:dyDescent="0.25">
      <c r="D11" s="9" t="s">
        <v>28</v>
      </c>
      <c r="E11" s="10">
        <v>229305000</v>
      </c>
    </row>
    <row r="12" spans="1:7" x14ac:dyDescent="0.25">
      <c r="G12" t="s">
        <v>38</v>
      </c>
    </row>
    <row r="14" spans="1:7" x14ac:dyDescent="0.25">
      <c r="A14" s="8" t="s">
        <v>3</v>
      </c>
      <c r="B14" t="s">
        <v>33</v>
      </c>
      <c r="D14" s="8" t="s">
        <v>0</v>
      </c>
      <c r="E14" t="s">
        <v>33</v>
      </c>
    </row>
    <row r="15" spans="1:7" x14ac:dyDescent="0.25">
      <c r="A15" s="9" t="s">
        <v>12</v>
      </c>
      <c r="B15" s="10">
        <v>88025000</v>
      </c>
      <c r="D15" s="9" t="s">
        <v>29</v>
      </c>
      <c r="E15" s="10">
        <v>20160000</v>
      </c>
    </row>
    <row r="16" spans="1:7" x14ac:dyDescent="0.25">
      <c r="A16" s="9" t="s">
        <v>15</v>
      </c>
      <c r="B16" s="10">
        <v>30525000</v>
      </c>
      <c r="D16" s="9" t="s">
        <v>30</v>
      </c>
      <c r="E16" s="10">
        <v>153350000</v>
      </c>
    </row>
    <row r="17" spans="1:5" x14ac:dyDescent="0.25">
      <c r="A17" s="9" t="s">
        <v>9</v>
      </c>
      <c r="B17" s="10">
        <v>110755000</v>
      </c>
      <c r="D17" s="9" t="s">
        <v>31</v>
      </c>
      <c r="E17" s="10">
        <v>45035000</v>
      </c>
    </row>
    <row r="18" spans="1:5" x14ac:dyDescent="0.25">
      <c r="A18" s="9" t="s">
        <v>28</v>
      </c>
      <c r="B18" s="10">
        <v>229305000</v>
      </c>
      <c r="D18" s="9" t="s">
        <v>32</v>
      </c>
      <c r="E18" s="10">
        <v>10760000</v>
      </c>
    </row>
    <row r="19" spans="1:5" x14ac:dyDescent="0.25">
      <c r="D19" s="9" t="s">
        <v>28</v>
      </c>
      <c r="E19" s="10">
        <v>229305000</v>
      </c>
    </row>
    <row r="23" spans="1:5" ht="23.25" x14ac:dyDescent="0.35">
      <c r="A23" s="14" t="s">
        <v>37</v>
      </c>
    </row>
    <row r="24" spans="1:5" x14ac:dyDescent="0.25">
      <c r="A24" s="15" t="s">
        <v>41</v>
      </c>
      <c r="B24" s="15"/>
      <c r="C24" s="15"/>
      <c r="D24" s="15"/>
    </row>
    <row r="25" spans="1:5" x14ac:dyDescent="0.25">
      <c r="A25" s="15" t="s">
        <v>40</v>
      </c>
      <c r="B25" s="15"/>
      <c r="C25" s="15"/>
      <c r="D25" s="15"/>
    </row>
    <row r="26" spans="1:5" x14ac:dyDescent="0.25">
      <c r="A26" s="16" t="s">
        <v>39</v>
      </c>
      <c r="B26" s="16"/>
      <c r="C26" s="16"/>
      <c r="D26" s="16"/>
    </row>
    <row r="29" spans="1:5" x14ac:dyDescent="0.25">
      <c r="A29" t="s">
        <v>42</v>
      </c>
    </row>
    <row r="30" spans="1:5" x14ac:dyDescent="0.25">
      <c r="A30" t="s">
        <v>43</v>
      </c>
    </row>
  </sheetData>
  <mergeCells count="3">
    <mergeCell ref="A24:D24"/>
    <mergeCell ref="A25:D25"/>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FD47-FFBA-4917-952E-943F2D51B827}">
  <sheetPr>
    <pageSetUpPr fitToPage="1"/>
  </sheetPr>
  <dimension ref="A1"/>
  <sheetViews>
    <sheetView workbookViewId="0">
      <selection activeCell="I3" sqref="I3"/>
    </sheetView>
  </sheetViews>
  <sheetFormatPr defaultRowHeight="15" x14ac:dyDescent="0.25"/>
  <sheetData/>
  <pageMargins left="0.7" right="0.7" top="0.75" bottom="0.75" header="0.3" footer="0.3"/>
  <pageSetup scale="63"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A54C2-AB3D-4C20-9D54-EFE69A283184}">
  <dimension ref="A17:J66"/>
  <sheetViews>
    <sheetView tabSelected="1" workbookViewId="0">
      <selection activeCell="I13" sqref="I13"/>
    </sheetView>
  </sheetViews>
  <sheetFormatPr defaultRowHeight="15" x14ac:dyDescent="0.25"/>
  <cols>
    <col min="1" max="1" width="9.85546875" bestFit="1" customWidth="1"/>
    <col min="2" max="2" width="17.7109375" customWidth="1"/>
    <col min="3" max="3" width="12.7109375" bestFit="1" customWidth="1"/>
    <col min="4" max="4" width="13.140625" bestFit="1" customWidth="1"/>
    <col min="5" max="5" width="10.28515625" bestFit="1" customWidth="1"/>
    <col min="6" max="6" width="14.140625" bestFit="1" customWidth="1"/>
    <col min="7" max="7" width="16.7109375" bestFit="1" customWidth="1"/>
    <col min="9" max="9" width="15" bestFit="1" customWidth="1"/>
    <col min="10" max="10" width="16.7109375" bestFit="1" customWidth="1"/>
  </cols>
  <sheetData>
    <row r="17" spans="1:10" ht="30" x14ac:dyDescent="0.25">
      <c r="A17" s="2" t="s">
        <v>0</v>
      </c>
      <c r="B17" s="2" t="s">
        <v>1</v>
      </c>
      <c r="C17" s="2" t="s">
        <v>2</v>
      </c>
      <c r="D17" s="2" t="s">
        <v>3</v>
      </c>
      <c r="E17" s="2" t="s">
        <v>4</v>
      </c>
      <c r="F17" s="2" t="s">
        <v>5</v>
      </c>
      <c r="G17" s="2" t="s">
        <v>6</v>
      </c>
    </row>
    <row r="18" spans="1:10" x14ac:dyDescent="0.25">
      <c r="A18" s="4">
        <v>45659</v>
      </c>
      <c r="B18" s="6" t="s">
        <v>7</v>
      </c>
      <c r="C18" s="3" t="s">
        <v>8</v>
      </c>
      <c r="D18" s="3" t="s">
        <v>9</v>
      </c>
      <c r="E18" s="1">
        <v>3</v>
      </c>
      <c r="F18" s="7">
        <v>450000</v>
      </c>
      <c r="G18" s="7">
        <f>E18*F18</f>
        <v>1350000</v>
      </c>
    </row>
    <row r="19" spans="1:10" x14ac:dyDescent="0.25">
      <c r="A19" s="4">
        <v>45661</v>
      </c>
      <c r="B19" s="6" t="s">
        <v>10</v>
      </c>
      <c r="C19" s="3" t="s">
        <v>11</v>
      </c>
      <c r="D19" s="3" t="s">
        <v>12</v>
      </c>
      <c r="E19" s="1">
        <v>5</v>
      </c>
      <c r="F19" s="7">
        <v>220000</v>
      </c>
      <c r="G19" s="7">
        <f t="shared" ref="G19:G66" si="0">E19*F19</f>
        <v>1100000</v>
      </c>
    </row>
    <row r="20" spans="1:10" x14ac:dyDescent="0.25">
      <c r="A20" s="4">
        <v>45663</v>
      </c>
      <c r="B20" s="6" t="s">
        <v>13</v>
      </c>
      <c r="C20" s="3" t="s">
        <v>14</v>
      </c>
      <c r="D20" s="3" t="s">
        <v>15</v>
      </c>
      <c r="E20" s="1">
        <v>2</v>
      </c>
      <c r="F20" s="7">
        <v>300000</v>
      </c>
      <c r="G20" s="7">
        <f t="shared" si="0"/>
        <v>600000</v>
      </c>
    </row>
    <row r="21" spans="1:10" x14ac:dyDescent="0.25">
      <c r="A21" s="4">
        <v>45665</v>
      </c>
      <c r="B21" s="6" t="s">
        <v>16</v>
      </c>
      <c r="C21" s="3" t="s">
        <v>14</v>
      </c>
      <c r="D21" s="3" t="s">
        <v>12</v>
      </c>
      <c r="E21" s="1">
        <v>1</v>
      </c>
      <c r="F21" s="7">
        <v>155000</v>
      </c>
      <c r="G21" s="7">
        <f t="shared" si="0"/>
        <v>155000</v>
      </c>
    </row>
    <row r="22" spans="1:10" x14ac:dyDescent="0.25">
      <c r="A22" s="4">
        <v>45667</v>
      </c>
      <c r="B22" s="6" t="s">
        <v>17</v>
      </c>
      <c r="C22" s="3" t="s">
        <v>23</v>
      </c>
      <c r="D22" s="3" t="s">
        <v>15</v>
      </c>
      <c r="E22" s="1">
        <v>2</v>
      </c>
      <c r="F22" s="7">
        <v>175000</v>
      </c>
      <c r="G22" s="7">
        <f t="shared" si="0"/>
        <v>350000</v>
      </c>
      <c r="I22" s="11" t="s">
        <v>34</v>
      </c>
      <c r="J22" s="12">
        <f>SUM(Sales_Data3[Revenue])</f>
        <v>229305000</v>
      </c>
    </row>
    <row r="23" spans="1:10" x14ac:dyDescent="0.25">
      <c r="A23" s="4">
        <v>45669</v>
      </c>
      <c r="B23" s="6" t="s">
        <v>10</v>
      </c>
      <c r="C23" s="3" t="s">
        <v>24</v>
      </c>
      <c r="D23" s="3" t="s">
        <v>9</v>
      </c>
      <c r="E23" s="1">
        <v>3</v>
      </c>
      <c r="F23" s="7">
        <v>220000</v>
      </c>
      <c r="G23" s="7">
        <f t="shared" si="0"/>
        <v>660000</v>
      </c>
      <c r="I23" s="11" t="s">
        <v>35</v>
      </c>
      <c r="J23" s="13">
        <f>SUM(Sales_Data3[Units Sold])</f>
        <v>411</v>
      </c>
    </row>
    <row r="24" spans="1:10" x14ac:dyDescent="0.25">
      <c r="A24" s="4">
        <v>45671</v>
      </c>
      <c r="B24" s="6" t="s">
        <v>7</v>
      </c>
      <c r="C24" s="3" t="s">
        <v>8</v>
      </c>
      <c r="D24" s="3" t="s">
        <v>15</v>
      </c>
      <c r="E24" s="1">
        <v>4</v>
      </c>
      <c r="F24" s="7">
        <v>450000</v>
      </c>
      <c r="G24" s="7">
        <f t="shared" si="0"/>
        <v>1800000</v>
      </c>
      <c r="I24" s="11" t="s">
        <v>36</v>
      </c>
      <c r="J24" s="12">
        <f>AVERAGE(Sales_Data3[Revenue])</f>
        <v>4679693.8775510201</v>
      </c>
    </row>
    <row r="25" spans="1:10" x14ac:dyDescent="0.25">
      <c r="A25" s="4">
        <v>45673</v>
      </c>
      <c r="B25" s="6" t="s">
        <v>7</v>
      </c>
      <c r="C25" s="3" t="s">
        <v>25</v>
      </c>
      <c r="D25" s="3" t="s">
        <v>9</v>
      </c>
      <c r="E25" s="1">
        <v>5</v>
      </c>
      <c r="F25" s="7">
        <v>450000</v>
      </c>
      <c r="G25" s="7">
        <f t="shared" si="0"/>
        <v>2250000</v>
      </c>
    </row>
    <row r="26" spans="1:10" x14ac:dyDescent="0.25">
      <c r="A26" s="4">
        <v>45675</v>
      </c>
      <c r="B26" s="6" t="s">
        <v>16</v>
      </c>
      <c r="C26" s="3" t="s">
        <v>26</v>
      </c>
      <c r="D26" s="3" t="s">
        <v>12</v>
      </c>
      <c r="E26" s="1">
        <v>6</v>
      </c>
      <c r="F26" s="7">
        <v>155000</v>
      </c>
      <c r="G26" s="7">
        <f t="shared" si="0"/>
        <v>930000</v>
      </c>
    </row>
    <row r="27" spans="1:10" x14ac:dyDescent="0.25">
      <c r="A27" s="4">
        <v>45677</v>
      </c>
      <c r="B27" s="6" t="s">
        <v>10</v>
      </c>
      <c r="C27" t="s">
        <v>23</v>
      </c>
      <c r="D27" s="3" t="s">
        <v>9</v>
      </c>
      <c r="E27" s="1">
        <v>7</v>
      </c>
      <c r="F27" s="7">
        <v>220000</v>
      </c>
      <c r="G27" s="7">
        <f t="shared" si="0"/>
        <v>1540000</v>
      </c>
    </row>
    <row r="28" spans="1:10" x14ac:dyDescent="0.25">
      <c r="A28" s="4">
        <v>45679</v>
      </c>
      <c r="B28" s="6" t="s">
        <v>10</v>
      </c>
      <c r="C28" t="s">
        <v>23</v>
      </c>
      <c r="D28" s="3" t="s">
        <v>12</v>
      </c>
      <c r="E28" s="1">
        <v>8</v>
      </c>
      <c r="F28" s="7">
        <v>220000</v>
      </c>
      <c r="G28" s="7">
        <f t="shared" si="0"/>
        <v>1760000</v>
      </c>
    </row>
    <row r="29" spans="1:10" x14ac:dyDescent="0.25">
      <c r="A29" s="4">
        <v>45681</v>
      </c>
      <c r="B29" s="6" t="s">
        <v>10</v>
      </c>
      <c r="C29" t="s">
        <v>23</v>
      </c>
      <c r="D29" s="3" t="s">
        <v>15</v>
      </c>
      <c r="E29" s="1">
        <v>9</v>
      </c>
      <c r="F29" s="7">
        <v>220000</v>
      </c>
      <c r="G29" s="7">
        <f t="shared" si="0"/>
        <v>1980000</v>
      </c>
    </row>
    <row r="30" spans="1:10" x14ac:dyDescent="0.25">
      <c r="A30" s="4">
        <v>45683</v>
      </c>
      <c r="B30" s="6" t="s">
        <v>13</v>
      </c>
      <c r="C30" t="s">
        <v>14</v>
      </c>
      <c r="D30" s="3" t="s">
        <v>12</v>
      </c>
      <c r="E30" s="1">
        <v>10</v>
      </c>
      <c r="F30" s="7">
        <v>300000</v>
      </c>
      <c r="G30" s="7">
        <f t="shared" si="0"/>
        <v>3000000</v>
      </c>
    </row>
    <row r="31" spans="1:10" x14ac:dyDescent="0.25">
      <c r="A31" s="4">
        <v>45685</v>
      </c>
      <c r="B31" s="6" t="s">
        <v>18</v>
      </c>
      <c r="C31" t="s">
        <v>11</v>
      </c>
      <c r="D31" s="3" t="s">
        <v>15</v>
      </c>
      <c r="E31" s="1">
        <v>11</v>
      </c>
      <c r="F31" s="7">
        <v>75000</v>
      </c>
      <c r="G31" s="7">
        <f t="shared" si="0"/>
        <v>825000</v>
      </c>
    </row>
    <row r="32" spans="1:10" x14ac:dyDescent="0.25">
      <c r="A32" s="4">
        <v>45687</v>
      </c>
      <c r="B32" s="6" t="s">
        <v>16</v>
      </c>
      <c r="C32" t="s">
        <v>11</v>
      </c>
      <c r="D32" s="3" t="s">
        <v>9</v>
      </c>
      <c r="E32" s="1">
        <v>12</v>
      </c>
      <c r="F32" s="7">
        <v>155000</v>
      </c>
      <c r="G32" s="7">
        <f t="shared" si="0"/>
        <v>1860000</v>
      </c>
    </row>
    <row r="33" spans="1:7" x14ac:dyDescent="0.25">
      <c r="A33" s="4">
        <v>45689</v>
      </c>
      <c r="B33" s="6" t="s">
        <v>19</v>
      </c>
      <c r="C33" t="s">
        <v>14</v>
      </c>
      <c r="D33" s="3" t="s">
        <v>15</v>
      </c>
      <c r="E33" s="1">
        <v>13</v>
      </c>
      <c r="F33" s="7">
        <v>15000</v>
      </c>
      <c r="G33" s="7">
        <f t="shared" si="0"/>
        <v>195000</v>
      </c>
    </row>
    <row r="34" spans="1:7" x14ac:dyDescent="0.25">
      <c r="A34" s="4">
        <v>45691</v>
      </c>
      <c r="B34" s="6" t="s">
        <v>20</v>
      </c>
      <c r="C34" t="s">
        <v>23</v>
      </c>
      <c r="D34" s="3" t="s">
        <v>9</v>
      </c>
      <c r="E34" s="1">
        <v>14</v>
      </c>
      <c r="F34" s="7">
        <v>3500000</v>
      </c>
      <c r="G34" s="7">
        <f t="shared" si="0"/>
        <v>49000000</v>
      </c>
    </row>
    <row r="35" spans="1:7" x14ac:dyDescent="0.25">
      <c r="A35" s="4">
        <v>45693</v>
      </c>
      <c r="B35" s="6" t="s">
        <v>10</v>
      </c>
      <c r="C35" t="s">
        <v>27</v>
      </c>
      <c r="D35" s="3" t="s">
        <v>12</v>
      </c>
      <c r="E35" s="1">
        <v>15</v>
      </c>
      <c r="F35" s="7">
        <v>220000</v>
      </c>
      <c r="G35" s="7">
        <f t="shared" si="0"/>
        <v>3300000</v>
      </c>
    </row>
    <row r="36" spans="1:7" x14ac:dyDescent="0.25">
      <c r="A36" s="4">
        <v>45695</v>
      </c>
      <c r="B36" s="6" t="s">
        <v>10</v>
      </c>
      <c r="C36" t="s">
        <v>14</v>
      </c>
      <c r="D36" s="3" t="s">
        <v>9</v>
      </c>
      <c r="E36" s="1">
        <v>16</v>
      </c>
      <c r="F36" s="7">
        <v>220000</v>
      </c>
      <c r="G36" s="7">
        <f t="shared" si="0"/>
        <v>3520000</v>
      </c>
    </row>
    <row r="37" spans="1:7" x14ac:dyDescent="0.25">
      <c r="A37" s="4">
        <v>45697</v>
      </c>
      <c r="B37" s="6" t="s">
        <v>10</v>
      </c>
      <c r="C37" t="s">
        <v>23</v>
      </c>
      <c r="D37" s="3" t="s">
        <v>12</v>
      </c>
      <c r="E37" s="1">
        <v>17</v>
      </c>
      <c r="F37" s="7">
        <v>220000</v>
      </c>
      <c r="G37" s="7">
        <f t="shared" si="0"/>
        <v>3740000</v>
      </c>
    </row>
    <row r="38" spans="1:7" x14ac:dyDescent="0.25">
      <c r="A38" s="4">
        <v>45699</v>
      </c>
      <c r="B38" s="6" t="s">
        <v>10</v>
      </c>
      <c r="C38" t="s">
        <v>27</v>
      </c>
      <c r="D38" s="3" t="s">
        <v>15</v>
      </c>
      <c r="E38" s="1">
        <v>18</v>
      </c>
      <c r="F38" s="7">
        <v>220000</v>
      </c>
      <c r="G38" s="7">
        <f t="shared" si="0"/>
        <v>3960000</v>
      </c>
    </row>
    <row r="39" spans="1:7" x14ac:dyDescent="0.25">
      <c r="A39" s="4">
        <v>45701</v>
      </c>
      <c r="B39" s="6" t="s">
        <v>21</v>
      </c>
      <c r="C39" t="s">
        <v>14</v>
      </c>
      <c r="D39" s="3" t="s">
        <v>12</v>
      </c>
      <c r="E39" s="1">
        <v>17</v>
      </c>
      <c r="F39" s="7">
        <v>3500000</v>
      </c>
      <c r="G39" s="7">
        <f t="shared" si="0"/>
        <v>59500000</v>
      </c>
    </row>
    <row r="40" spans="1:7" x14ac:dyDescent="0.25">
      <c r="A40" s="4">
        <v>45703</v>
      </c>
      <c r="B40" s="6" t="s">
        <v>7</v>
      </c>
      <c r="C40" t="s">
        <v>23</v>
      </c>
      <c r="D40" s="3" t="s">
        <v>15</v>
      </c>
      <c r="E40" s="1">
        <v>16</v>
      </c>
      <c r="F40" s="7">
        <v>450000</v>
      </c>
      <c r="G40" s="7">
        <f t="shared" si="0"/>
        <v>7200000</v>
      </c>
    </row>
    <row r="41" spans="1:7" x14ac:dyDescent="0.25">
      <c r="A41" s="4">
        <v>45705</v>
      </c>
      <c r="B41" s="6" t="s">
        <v>7</v>
      </c>
      <c r="C41" t="s">
        <v>27</v>
      </c>
      <c r="D41" s="3" t="s">
        <v>9</v>
      </c>
      <c r="E41" s="1">
        <v>15</v>
      </c>
      <c r="F41" s="7">
        <v>450000</v>
      </c>
      <c r="G41" s="7">
        <f t="shared" si="0"/>
        <v>6750000</v>
      </c>
    </row>
    <row r="42" spans="1:7" x14ac:dyDescent="0.25">
      <c r="A42" s="4">
        <v>45707</v>
      </c>
      <c r="B42" s="6" t="s">
        <v>7</v>
      </c>
      <c r="C42" t="s">
        <v>14</v>
      </c>
      <c r="D42" s="3" t="s">
        <v>15</v>
      </c>
      <c r="E42" s="1">
        <v>14</v>
      </c>
      <c r="F42" s="7">
        <v>450000</v>
      </c>
      <c r="G42" s="7">
        <f t="shared" si="0"/>
        <v>6300000</v>
      </c>
    </row>
    <row r="43" spans="1:7" x14ac:dyDescent="0.25">
      <c r="A43" s="4">
        <v>45709</v>
      </c>
      <c r="B43" s="6" t="s">
        <v>10</v>
      </c>
      <c r="C43" t="s">
        <v>23</v>
      </c>
      <c r="D43" s="3" t="s">
        <v>9</v>
      </c>
      <c r="E43" s="1">
        <v>13</v>
      </c>
      <c r="F43" s="7">
        <v>220000</v>
      </c>
      <c r="G43" s="7">
        <f t="shared" si="0"/>
        <v>2860000</v>
      </c>
    </row>
    <row r="44" spans="1:7" x14ac:dyDescent="0.25">
      <c r="A44" s="4">
        <v>45711</v>
      </c>
      <c r="B44" s="6" t="s">
        <v>17</v>
      </c>
      <c r="C44" t="s">
        <v>27</v>
      </c>
      <c r="D44" s="3" t="s">
        <v>12</v>
      </c>
      <c r="E44" s="1">
        <v>12</v>
      </c>
      <c r="F44" s="7">
        <v>175000</v>
      </c>
      <c r="G44" s="7">
        <f t="shared" si="0"/>
        <v>2100000</v>
      </c>
    </row>
    <row r="45" spans="1:7" x14ac:dyDescent="0.25">
      <c r="A45" s="4">
        <v>45713</v>
      </c>
      <c r="B45" s="6" t="s">
        <v>17</v>
      </c>
      <c r="C45" t="s">
        <v>14</v>
      </c>
      <c r="D45" s="3" t="s">
        <v>9</v>
      </c>
      <c r="E45" s="1">
        <v>11</v>
      </c>
      <c r="F45" s="7">
        <v>175000</v>
      </c>
      <c r="G45" s="7">
        <f t="shared" si="0"/>
        <v>1925000</v>
      </c>
    </row>
    <row r="46" spans="1:7" x14ac:dyDescent="0.25">
      <c r="A46" s="4">
        <v>45715</v>
      </c>
      <c r="B46" s="6" t="s">
        <v>13</v>
      </c>
      <c r="C46" t="s">
        <v>23</v>
      </c>
      <c r="D46" s="3" t="s">
        <v>12</v>
      </c>
      <c r="E46" s="1">
        <v>10</v>
      </c>
      <c r="F46" s="7">
        <v>300000</v>
      </c>
      <c r="G46" s="7">
        <f t="shared" si="0"/>
        <v>3000000</v>
      </c>
    </row>
    <row r="47" spans="1:7" x14ac:dyDescent="0.25">
      <c r="A47" s="4">
        <v>45717</v>
      </c>
      <c r="B47" s="6" t="s">
        <v>16</v>
      </c>
      <c r="C47" t="s">
        <v>27</v>
      </c>
      <c r="D47" s="3" t="s">
        <v>15</v>
      </c>
      <c r="E47" s="1">
        <v>9</v>
      </c>
      <c r="F47" s="7">
        <v>155000</v>
      </c>
      <c r="G47" s="7">
        <f t="shared" si="0"/>
        <v>1395000</v>
      </c>
    </row>
    <row r="48" spans="1:7" x14ac:dyDescent="0.25">
      <c r="A48" s="4">
        <v>45719</v>
      </c>
      <c r="B48" s="6" t="s">
        <v>10</v>
      </c>
      <c r="C48" s="3" t="s">
        <v>14</v>
      </c>
      <c r="D48" s="3" t="s">
        <v>15</v>
      </c>
      <c r="E48" s="1">
        <v>8</v>
      </c>
      <c r="F48" s="7">
        <v>220000</v>
      </c>
      <c r="G48" s="7">
        <f t="shared" si="0"/>
        <v>1760000</v>
      </c>
    </row>
    <row r="49" spans="1:7" x14ac:dyDescent="0.25">
      <c r="A49" s="4">
        <v>45721</v>
      </c>
      <c r="B49" s="6" t="s">
        <v>21</v>
      </c>
      <c r="C49" s="3" t="s">
        <v>23</v>
      </c>
      <c r="D49" s="3" t="s">
        <v>9</v>
      </c>
      <c r="E49" s="1">
        <v>7</v>
      </c>
      <c r="F49" s="7">
        <v>3500000</v>
      </c>
      <c r="G49" s="7">
        <f t="shared" si="0"/>
        <v>24500000</v>
      </c>
    </row>
    <row r="50" spans="1:7" x14ac:dyDescent="0.25">
      <c r="A50" s="4">
        <v>45723</v>
      </c>
      <c r="B50" s="6" t="s">
        <v>10</v>
      </c>
      <c r="C50" s="3" t="s">
        <v>24</v>
      </c>
      <c r="D50" s="3" t="s">
        <v>12</v>
      </c>
      <c r="E50" s="1">
        <v>6</v>
      </c>
      <c r="F50" s="7">
        <v>220000</v>
      </c>
      <c r="G50" s="7">
        <f t="shared" si="0"/>
        <v>1320000</v>
      </c>
    </row>
    <row r="51" spans="1:7" x14ac:dyDescent="0.25">
      <c r="A51" s="4">
        <v>45725</v>
      </c>
      <c r="B51" s="6" t="s">
        <v>18</v>
      </c>
      <c r="C51" s="3" t="s">
        <v>8</v>
      </c>
      <c r="D51" s="3" t="s">
        <v>12</v>
      </c>
      <c r="E51" s="1">
        <v>5</v>
      </c>
      <c r="F51" s="7">
        <v>75000</v>
      </c>
      <c r="G51" s="7">
        <f t="shared" si="0"/>
        <v>375000</v>
      </c>
    </row>
    <row r="52" spans="1:7" x14ac:dyDescent="0.25">
      <c r="A52" s="4">
        <v>45727</v>
      </c>
      <c r="B52" s="6" t="s">
        <v>19</v>
      </c>
      <c r="C52" s="3" t="s">
        <v>14</v>
      </c>
      <c r="D52" s="3" t="s">
        <v>15</v>
      </c>
      <c r="E52" s="1">
        <v>4</v>
      </c>
      <c r="F52" s="7">
        <v>15000</v>
      </c>
      <c r="G52" s="7">
        <f t="shared" si="0"/>
        <v>60000</v>
      </c>
    </row>
    <row r="53" spans="1:7" x14ac:dyDescent="0.25">
      <c r="A53" s="4">
        <v>45729</v>
      </c>
      <c r="B53" s="6" t="s">
        <v>20</v>
      </c>
      <c r="C53" s="3" t="s">
        <v>23</v>
      </c>
      <c r="D53" s="3" t="s">
        <v>9</v>
      </c>
      <c r="E53" s="1">
        <v>3</v>
      </c>
      <c r="F53" s="7">
        <v>3500000</v>
      </c>
      <c r="G53" s="7">
        <f t="shared" si="0"/>
        <v>10500000</v>
      </c>
    </row>
    <row r="54" spans="1:7" x14ac:dyDescent="0.25">
      <c r="A54" s="4">
        <v>45731</v>
      </c>
      <c r="B54" s="6" t="s">
        <v>10</v>
      </c>
      <c r="C54" s="3" t="s">
        <v>24</v>
      </c>
      <c r="D54" s="3" t="s">
        <v>9</v>
      </c>
      <c r="E54" s="1">
        <v>2</v>
      </c>
      <c r="F54" s="7">
        <v>220000</v>
      </c>
      <c r="G54" s="7">
        <f t="shared" si="0"/>
        <v>440000</v>
      </c>
    </row>
    <row r="55" spans="1:7" x14ac:dyDescent="0.25">
      <c r="A55" s="4">
        <v>45733</v>
      </c>
      <c r="B55" s="6" t="s">
        <v>16</v>
      </c>
      <c r="C55" s="3" t="s">
        <v>8</v>
      </c>
      <c r="D55" s="3" t="s">
        <v>12</v>
      </c>
      <c r="E55" s="1">
        <v>1</v>
      </c>
      <c r="F55" s="7">
        <v>155000</v>
      </c>
      <c r="G55" s="7">
        <f t="shared" si="0"/>
        <v>155000</v>
      </c>
    </row>
    <row r="56" spans="1:7" x14ac:dyDescent="0.25">
      <c r="A56" s="4">
        <v>45735</v>
      </c>
      <c r="B56" s="6" t="s">
        <v>17</v>
      </c>
      <c r="C56" s="3" t="s">
        <v>14</v>
      </c>
      <c r="D56" s="3" t="s">
        <v>15</v>
      </c>
      <c r="E56" s="1">
        <v>2</v>
      </c>
      <c r="F56" s="7">
        <v>175000</v>
      </c>
      <c r="G56" s="7">
        <f t="shared" si="0"/>
        <v>350000</v>
      </c>
    </row>
    <row r="57" spans="1:7" x14ac:dyDescent="0.25">
      <c r="A57" s="4">
        <v>45737</v>
      </c>
      <c r="B57" s="6" t="s">
        <v>7</v>
      </c>
      <c r="C57" s="3" t="s">
        <v>23</v>
      </c>
      <c r="D57" s="3" t="s">
        <v>12</v>
      </c>
      <c r="E57" s="1">
        <v>3</v>
      </c>
      <c r="F57" s="7">
        <v>450000</v>
      </c>
      <c r="G57" s="7">
        <f t="shared" si="0"/>
        <v>1350000</v>
      </c>
    </row>
    <row r="58" spans="1:7" x14ac:dyDescent="0.25">
      <c r="A58" s="4">
        <v>45739</v>
      </c>
      <c r="B58" s="6" t="s">
        <v>10</v>
      </c>
      <c r="C58" s="3" t="s">
        <v>24</v>
      </c>
      <c r="D58" s="3" t="s">
        <v>15</v>
      </c>
      <c r="E58" s="1">
        <v>4</v>
      </c>
      <c r="F58" s="7">
        <v>220000</v>
      </c>
      <c r="G58" s="7">
        <f t="shared" si="0"/>
        <v>880000</v>
      </c>
    </row>
    <row r="59" spans="1:7" x14ac:dyDescent="0.25">
      <c r="A59" s="4">
        <v>45741</v>
      </c>
      <c r="B59" s="6" t="s">
        <v>18</v>
      </c>
      <c r="C59" s="3" t="s">
        <v>8</v>
      </c>
      <c r="D59" s="3" t="s">
        <v>9</v>
      </c>
      <c r="E59" s="1">
        <v>5</v>
      </c>
      <c r="F59" s="7">
        <v>75000</v>
      </c>
      <c r="G59" s="7">
        <f t="shared" si="0"/>
        <v>375000</v>
      </c>
    </row>
    <row r="60" spans="1:7" x14ac:dyDescent="0.25">
      <c r="A60" s="4">
        <v>45743</v>
      </c>
      <c r="B60" s="6" t="s">
        <v>18</v>
      </c>
      <c r="C60" s="3" t="s">
        <v>8</v>
      </c>
      <c r="D60" s="3" t="s">
        <v>15</v>
      </c>
      <c r="E60" s="1">
        <v>6</v>
      </c>
      <c r="F60" s="7">
        <v>75000</v>
      </c>
      <c r="G60" s="7">
        <f t="shared" si="0"/>
        <v>450000</v>
      </c>
    </row>
    <row r="61" spans="1:7" x14ac:dyDescent="0.25">
      <c r="A61" s="4">
        <v>45745</v>
      </c>
      <c r="B61" s="6" t="s">
        <v>18</v>
      </c>
      <c r="C61" s="3" t="s">
        <v>14</v>
      </c>
      <c r="D61" s="3" t="s">
        <v>9</v>
      </c>
      <c r="E61" s="1">
        <v>7</v>
      </c>
      <c r="F61" s="7">
        <v>75000</v>
      </c>
      <c r="G61" s="7">
        <f t="shared" si="0"/>
        <v>525000</v>
      </c>
    </row>
    <row r="62" spans="1:7" x14ac:dyDescent="0.25">
      <c r="A62" s="4">
        <v>45747</v>
      </c>
      <c r="B62" s="6" t="s">
        <v>18</v>
      </c>
      <c r="C62" s="3" t="s">
        <v>23</v>
      </c>
      <c r="D62" s="3" t="s">
        <v>12</v>
      </c>
      <c r="E62" s="1">
        <v>8</v>
      </c>
      <c r="F62" s="7">
        <v>75000</v>
      </c>
      <c r="G62" s="7">
        <f t="shared" si="0"/>
        <v>600000</v>
      </c>
    </row>
    <row r="63" spans="1:7" x14ac:dyDescent="0.25">
      <c r="A63" s="4">
        <v>45749</v>
      </c>
      <c r="B63" s="6" t="s">
        <v>13</v>
      </c>
      <c r="C63" s="3" t="s">
        <v>8</v>
      </c>
      <c r="D63" s="3" t="s">
        <v>9</v>
      </c>
      <c r="E63" s="1">
        <v>9</v>
      </c>
      <c r="F63" s="7">
        <v>300000</v>
      </c>
      <c r="G63" s="7">
        <f t="shared" si="0"/>
        <v>2700000</v>
      </c>
    </row>
    <row r="64" spans="1:7" x14ac:dyDescent="0.25">
      <c r="A64" s="4">
        <v>45751</v>
      </c>
      <c r="B64" s="6" t="s">
        <v>22</v>
      </c>
      <c r="C64" s="3" t="s">
        <v>25</v>
      </c>
      <c r="D64" s="3" t="s">
        <v>12</v>
      </c>
      <c r="E64" s="1">
        <v>10</v>
      </c>
      <c r="F64" s="7">
        <v>300000</v>
      </c>
      <c r="G64" s="7">
        <f t="shared" si="0"/>
        <v>3000000</v>
      </c>
    </row>
    <row r="65" spans="1:7" x14ac:dyDescent="0.25">
      <c r="A65" s="4">
        <v>45753</v>
      </c>
      <c r="B65" s="6" t="s">
        <v>10</v>
      </c>
      <c r="C65" s="3" t="s">
        <v>26</v>
      </c>
      <c r="D65" s="3" t="s">
        <v>15</v>
      </c>
      <c r="E65" s="1">
        <v>11</v>
      </c>
      <c r="F65" s="7">
        <v>220000</v>
      </c>
      <c r="G65" s="7">
        <f t="shared" si="0"/>
        <v>2420000</v>
      </c>
    </row>
    <row r="66" spans="1:7" x14ac:dyDescent="0.25">
      <c r="A66" s="4">
        <v>45755</v>
      </c>
      <c r="B66" s="6" t="s">
        <v>10</v>
      </c>
      <c r="C66" t="s">
        <v>23</v>
      </c>
      <c r="D66" s="3" t="s">
        <v>12</v>
      </c>
      <c r="E66" s="1">
        <v>12</v>
      </c>
      <c r="F66" s="7">
        <v>220000</v>
      </c>
      <c r="G66" s="7">
        <f t="shared" si="0"/>
        <v>2640000</v>
      </c>
    </row>
  </sheetData>
  <pageMargins left="0.7" right="0.7" top="0.75" bottom="0.75" header="0.3" footer="0.3"/>
  <drawing r:id="rId1"/>
  <legacyDrawing r:id="rId2"/>
  <tableParts count="1">
    <tablePart r:id="rId3"/>
  </tableParts>
  <extLst>
    <ext xmlns:x14="http://schemas.microsoft.com/office/spreadsheetml/2009/9/main" uri="{05C60535-1F16-4fd2-B633-F4F36F0B64E0}">
      <x14:sparklineGroups xmlns:xm="http://schemas.microsoft.com/office/excel/2006/main">
        <x14:sparklineGroup type="column" displayEmptyCellsAs="gap" xr2:uid="{DB109165-BEC1-4223-A94C-7435A4308CD5}">
          <x14:colorSeries rgb="FF00B050"/>
          <x14:colorNegative rgb="FFFF0000"/>
          <x14:colorAxis rgb="FF000000"/>
          <x14:colorMarkers rgb="FF0070C0"/>
          <x14:colorFirst rgb="FFFFC000"/>
          <x14:colorLast rgb="FFFFC000"/>
          <x14:colorHigh rgb="FF00B050"/>
          <x14:colorLow rgb="FFFF0000"/>
          <x14:sparklines>
            <x14:sparkline>
              <xm:f>'KPI CARD'!E18:E66</xm:f>
              <xm:sqref>K23</xm:sqref>
            </x14:sparkline>
          </x14:sparklines>
        </x14:sparklineGroup>
        <x14:sparklineGroup type="column" displayEmptyCellsAs="gap" high="1" xr2:uid="{A9229094-833D-4635-8175-9E8FFE601336}">
          <x14:colorSeries theme="9"/>
          <x14:colorNegative theme="4"/>
          <x14:colorAxis rgb="FF000000"/>
          <x14:colorMarkers theme="9" tint="-0.249977111117893"/>
          <x14:colorFirst theme="9" tint="-0.249977111117893"/>
          <x14:colorLast theme="9" tint="-0.249977111117893"/>
          <x14:colorHigh theme="9" tint="-0.249977111117893"/>
          <x14:colorLow theme="9" tint="-0.249977111117893"/>
          <x14:sparklines>
            <x14:sparkline>
              <xm:f>'KPI CARD'!G18:G66</xm:f>
              <xm:sqref>K22</xm:sqref>
            </x14:sparkline>
          </x14:sparklines>
        </x14:sparklineGroup>
        <x14:sparklineGroup displayEmptyCellsAs="gap" high="1" xr2:uid="{76059BF8-DEA7-4FC4-9976-2C0A50C39BE3}">
          <x14:colorSeries theme="9"/>
          <x14:colorNegative theme="4"/>
          <x14:colorAxis rgb="FF000000"/>
          <x14:colorMarkers theme="9" tint="-0.249977111117893"/>
          <x14:colorFirst theme="9" tint="-0.249977111117893"/>
          <x14:colorLast theme="9" tint="-0.249977111117893"/>
          <x14:colorHigh theme="9" tint="-0.249977111117893"/>
          <x14:colorLow theme="9" tint="-0.249977111117893"/>
          <x14:sparklines>
            <x14:sparkline>
              <xm:f>'KPI CARD'!J1:J49</xm:f>
              <xm:sqref>K51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Analysis</vt:lpstr>
      <vt:lpstr>Dashboard</vt:lpstr>
      <vt:lpstr>KPI 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Chika Loyce</dc:creator>
  <cp:lastModifiedBy>Chika Loyce</cp:lastModifiedBy>
  <cp:lastPrinted>2026-03-24T20:27:16Z</cp:lastPrinted>
  <dcterms:created xsi:type="dcterms:W3CDTF">2026-03-24T18:29:53Z</dcterms:created>
  <dcterms:modified xsi:type="dcterms:W3CDTF">2026-04-20T18:47:57Z</dcterms:modified>
</cp:coreProperties>
</file>