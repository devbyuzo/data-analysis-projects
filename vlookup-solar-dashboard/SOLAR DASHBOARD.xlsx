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rs Onuoha\Desktop\Uzo's Workspace\Data Analysis Portfolio\"/>
    </mc:Choice>
  </mc:AlternateContent>
  <xr:revisionPtr revIDLastSave="0" documentId="13_ncr:1_{FEA93E27-E783-4CE1-AD40-5E2C430B41D6}" xr6:coauthVersionLast="47" xr6:coauthVersionMax="47" xr10:uidLastSave="{00000000-0000-0000-0000-000000000000}"/>
  <bookViews>
    <workbookView xWindow="-120" yWindow="-120" windowWidth="20730" windowHeight="11760" firstSheet="1" activeTab="5" xr2:uid="{1CC072A5-94FD-40B2-A2B5-E9EB51C7A84D}"/>
  </bookViews>
  <sheets>
    <sheet name="Solar Company Dashboard" sheetId="1" r:id="rId1"/>
    <sheet name="VLOOKUP" sheetId="2" r:id="rId2"/>
    <sheet name="KPI CARDS" sheetId="3" r:id="rId3"/>
    <sheet name="Lead Source" sheetId="4" r:id="rId4"/>
    <sheet name="System Distribution" sheetId="5" r:id="rId5"/>
    <sheet name="Installation Trend" sheetId="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5" l="1"/>
  <c r="K24" i="5"/>
  <c r="K25" i="5"/>
  <c r="K26" i="5"/>
  <c r="K23" i="5"/>
  <c r="E23" i="4"/>
  <c r="E22" i="4"/>
  <c r="D23" i="3"/>
  <c r="D22" i="3"/>
  <c r="D17" i="3"/>
  <c r="D15" i="3"/>
  <c r="D18" i="3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D13" i="3"/>
  <c r="B2" i="2"/>
  <c r="B3" i="2"/>
  <c r="B4" i="2"/>
  <c r="B5" i="2"/>
  <c r="B6" i="2"/>
  <c r="B7" i="2"/>
  <c r="B8" i="2"/>
  <c r="B9" i="2"/>
  <c r="B10" i="2"/>
  <c r="B11" i="2"/>
  <c r="B12" i="2"/>
  <c r="B13" i="2"/>
  <c r="D19" i="3" l="1"/>
  <c r="D20" i="3" s="1"/>
  <c r="D21" i="3"/>
</calcChain>
</file>

<file path=xl/sharedStrings.xml><?xml version="1.0" encoding="utf-8"?>
<sst xmlns="http://schemas.openxmlformats.org/spreadsheetml/2006/main" count="1857" uniqueCount="652">
  <si>
    <t>N/A</t>
  </si>
  <si>
    <t>Mobile Bank Transfer</t>
  </si>
  <si>
    <t>1x 220Ah X 12V - Tubular</t>
  </si>
  <si>
    <t>4X  Monocrystalline N-Type</t>
  </si>
  <si>
    <t>Angela</t>
  </si>
  <si>
    <t>Address 000200</t>
  </si>
  <si>
    <t>example200@email.com</t>
  </si>
  <si>
    <t>Jane</t>
  </si>
  <si>
    <t>SN-0000200</t>
  </si>
  <si>
    <t>3X Monocrystalline N-Type</t>
  </si>
  <si>
    <t>Amos</t>
  </si>
  <si>
    <t>Address 000199</t>
  </si>
  <si>
    <t>example199@email.com</t>
  </si>
  <si>
    <t>John</t>
  </si>
  <si>
    <t>SN-0000199</t>
  </si>
  <si>
    <t>Address 000198</t>
  </si>
  <si>
    <t>example198@email.com</t>
  </si>
  <si>
    <t>SN-0000198</t>
  </si>
  <si>
    <t>Address 000197</t>
  </si>
  <si>
    <t>example197@email.com</t>
  </si>
  <si>
    <t>SN-0000197</t>
  </si>
  <si>
    <t>Address 000196</t>
  </si>
  <si>
    <t>example196@email.com</t>
  </si>
  <si>
    <t>SN-0000196</t>
  </si>
  <si>
    <t>Address 000195</t>
  </si>
  <si>
    <t>example195@email.com</t>
  </si>
  <si>
    <t>SN-0000195</t>
  </si>
  <si>
    <t>Address 000194</t>
  </si>
  <si>
    <t>example194@email.com</t>
  </si>
  <si>
    <t>SN-0000194</t>
  </si>
  <si>
    <t>Address 000193</t>
  </si>
  <si>
    <t>example193@email.com</t>
  </si>
  <si>
    <t>SN-0000193</t>
  </si>
  <si>
    <t>Address 000192</t>
  </si>
  <si>
    <t>example192@email.com</t>
  </si>
  <si>
    <t>SN-0000192</t>
  </si>
  <si>
    <t>Address 000191</t>
  </si>
  <si>
    <t>example191@email.com</t>
  </si>
  <si>
    <t>SN-0000191</t>
  </si>
  <si>
    <t>Address 000190</t>
  </si>
  <si>
    <t>example190@email.com</t>
  </si>
  <si>
    <t>SN-0000190</t>
  </si>
  <si>
    <t>Address 000189</t>
  </si>
  <si>
    <t>example189@email.com</t>
  </si>
  <si>
    <t>SN-0000189</t>
  </si>
  <si>
    <t>Address 000188</t>
  </si>
  <si>
    <t>example188@email.com</t>
  </si>
  <si>
    <t>SN-0000188</t>
  </si>
  <si>
    <t>Address 000187</t>
  </si>
  <si>
    <t>example187@email.com</t>
  </si>
  <si>
    <t>SN-0000187</t>
  </si>
  <si>
    <t>Address 000186</t>
  </si>
  <si>
    <t>example186@email.com</t>
  </si>
  <si>
    <t>SN-0000186</t>
  </si>
  <si>
    <t>Address 000185</t>
  </si>
  <si>
    <t>example185@email.com</t>
  </si>
  <si>
    <t>SN-0000185</t>
  </si>
  <si>
    <t>Address 000184</t>
  </si>
  <si>
    <t>example184@email.com</t>
  </si>
  <si>
    <t>SN-0000184</t>
  </si>
  <si>
    <t>Address 000183</t>
  </si>
  <si>
    <t>example183@email.com</t>
  </si>
  <si>
    <t>SN-0000183</t>
  </si>
  <si>
    <t>Address 000182</t>
  </si>
  <si>
    <t>example182@email.com</t>
  </si>
  <si>
    <t>SN-0000182</t>
  </si>
  <si>
    <t>Address 000181</t>
  </si>
  <si>
    <t>example181@email.com</t>
  </si>
  <si>
    <t>SN-0000181</t>
  </si>
  <si>
    <t>Address 000180</t>
  </si>
  <si>
    <t>example180@email.com</t>
  </si>
  <si>
    <t>SN-0000180</t>
  </si>
  <si>
    <t>Address 000179</t>
  </si>
  <si>
    <t>example179@email.com</t>
  </si>
  <si>
    <t>SN-0000179</t>
  </si>
  <si>
    <t>Address 000178</t>
  </si>
  <si>
    <t>example178@email.com</t>
  </si>
  <si>
    <t>SN-0000178</t>
  </si>
  <si>
    <t>Address 000177</t>
  </si>
  <si>
    <t>example177@email.com</t>
  </si>
  <si>
    <t>SN-0000177</t>
  </si>
  <si>
    <t>Address 000176</t>
  </si>
  <si>
    <t>example176@email.com</t>
  </si>
  <si>
    <t>SN-0000176</t>
  </si>
  <si>
    <t>Address 000175</t>
  </si>
  <si>
    <t>example175@email.com</t>
  </si>
  <si>
    <t>SN-0000175</t>
  </si>
  <si>
    <t>Address 000174</t>
  </si>
  <si>
    <t>example174@email.com</t>
  </si>
  <si>
    <t>SN-0000174</t>
  </si>
  <si>
    <t>Address 000173</t>
  </si>
  <si>
    <t>example173@email.com</t>
  </si>
  <si>
    <t>SN-0000173</t>
  </si>
  <si>
    <t>Address 000172</t>
  </si>
  <si>
    <t>example172@email.com</t>
  </si>
  <si>
    <t>SN-0000172</t>
  </si>
  <si>
    <t>Address 000171</t>
  </si>
  <si>
    <t>example171@email.com</t>
  </si>
  <si>
    <t>SN-0000171</t>
  </si>
  <si>
    <t>Address 000170</t>
  </si>
  <si>
    <t>example170@email.com</t>
  </si>
  <si>
    <t>SN-0000170</t>
  </si>
  <si>
    <t>Address 000169</t>
  </si>
  <si>
    <t>example169@email.com</t>
  </si>
  <si>
    <t>SN-0000169</t>
  </si>
  <si>
    <t>Address 000168</t>
  </si>
  <si>
    <t>example168@email.com</t>
  </si>
  <si>
    <t>SN-0000168</t>
  </si>
  <si>
    <t>Address 000167</t>
  </si>
  <si>
    <t>example167@email.com</t>
  </si>
  <si>
    <t>SN-0000167</t>
  </si>
  <si>
    <t>Address 000166</t>
  </si>
  <si>
    <t>example166@email.com</t>
  </si>
  <si>
    <t>SN-0000166</t>
  </si>
  <si>
    <t>Address 000165</t>
  </si>
  <si>
    <t>example165@email.com</t>
  </si>
  <si>
    <t>SN-0000165</t>
  </si>
  <si>
    <t>Address 000164</t>
  </si>
  <si>
    <t>example164@email.com</t>
  </si>
  <si>
    <t>SN-0000164</t>
  </si>
  <si>
    <t>Address 000163</t>
  </si>
  <si>
    <t>example163@email.com</t>
  </si>
  <si>
    <t>SN-0000163</t>
  </si>
  <si>
    <t>Address 000162</t>
  </si>
  <si>
    <t>example162@email.com</t>
  </si>
  <si>
    <t>SN-0000162</t>
  </si>
  <si>
    <t>Address 000161</t>
  </si>
  <si>
    <t>example161@email.com</t>
  </si>
  <si>
    <t>SN-0000161</t>
  </si>
  <si>
    <t>Address 000160</t>
  </si>
  <si>
    <t>example160@email.com</t>
  </si>
  <si>
    <t>SN-0000160</t>
  </si>
  <si>
    <t>Address 000159</t>
  </si>
  <si>
    <t>example159@email.com</t>
  </si>
  <si>
    <t>SN-0000159</t>
  </si>
  <si>
    <t>Address 000158</t>
  </si>
  <si>
    <t>example158@email.com</t>
  </si>
  <si>
    <t>SN-0000158</t>
  </si>
  <si>
    <t>Address 000157</t>
  </si>
  <si>
    <t>example157@email.com</t>
  </si>
  <si>
    <t>SN-0000157</t>
  </si>
  <si>
    <t>Address 000156</t>
  </si>
  <si>
    <t>example156@email.com</t>
  </si>
  <si>
    <t>SN-0000156</t>
  </si>
  <si>
    <t>Address 000155</t>
  </si>
  <si>
    <t>example155@email.com</t>
  </si>
  <si>
    <t>SN-0000155</t>
  </si>
  <si>
    <t>Address 000154</t>
  </si>
  <si>
    <t>example154@email.com</t>
  </si>
  <si>
    <t>SN-0000154</t>
  </si>
  <si>
    <t>Address 000153</t>
  </si>
  <si>
    <t>example153@email.com</t>
  </si>
  <si>
    <t>SN-0000153</t>
  </si>
  <si>
    <t>Address 000152</t>
  </si>
  <si>
    <t>example152@email.com</t>
  </si>
  <si>
    <t>SN-0000152</t>
  </si>
  <si>
    <t>Address 000151</t>
  </si>
  <si>
    <t>example151@email.com</t>
  </si>
  <si>
    <t>SN-0000151</t>
  </si>
  <si>
    <t>Address 000150</t>
  </si>
  <si>
    <t>example150@email.com</t>
  </si>
  <si>
    <t>SN-0000150</t>
  </si>
  <si>
    <t>Address 000149</t>
  </si>
  <si>
    <t>example149@email.com</t>
  </si>
  <si>
    <t>SN-0000149</t>
  </si>
  <si>
    <t>Address 000148</t>
  </si>
  <si>
    <t>example148@email.com</t>
  </si>
  <si>
    <t>SN-0000148</t>
  </si>
  <si>
    <t>Address 000147</t>
  </si>
  <si>
    <t>example147@email.com</t>
  </si>
  <si>
    <t>SN-0000147</t>
  </si>
  <si>
    <t>Address 000146</t>
  </si>
  <si>
    <t>example146@email.com</t>
  </si>
  <si>
    <t>SN-0000146</t>
  </si>
  <si>
    <t>Address 000145</t>
  </si>
  <si>
    <t>example145@email.com</t>
  </si>
  <si>
    <t>SN-0000145</t>
  </si>
  <si>
    <t>Address 000144</t>
  </si>
  <si>
    <t>example144@email.com</t>
  </si>
  <si>
    <t>SN-0000144</t>
  </si>
  <si>
    <t>Address 000143</t>
  </si>
  <si>
    <t>example143@email.com</t>
  </si>
  <si>
    <t>SN-0000143</t>
  </si>
  <si>
    <t>Address 000142</t>
  </si>
  <si>
    <t>example142@email.com</t>
  </si>
  <si>
    <t>SN-0000142</t>
  </si>
  <si>
    <t>Address 000141</t>
  </si>
  <si>
    <t>example141@email.com</t>
  </si>
  <si>
    <t>SN-0000141</t>
  </si>
  <si>
    <t>Address 000140</t>
  </si>
  <si>
    <t>example140@email.com</t>
  </si>
  <si>
    <t>SN-0000140</t>
  </si>
  <si>
    <t>Address 000139</t>
  </si>
  <si>
    <t>example139@email.com</t>
  </si>
  <si>
    <t>SN-0000139</t>
  </si>
  <si>
    <t>Address 000138</t>
  </si>
  <si>
    <t>example138@email.com</t>
  </si>
  <si>
    <t>SN-0000138</t>
  </si>
  <si>
    <t>Address 000137</t>
  </si>
  <si>
    <t>example137@email.com</t>
  </si>
  <si>
    <t>SN-0000137</t>
  </si>
  <si>
    <t>Address 000136</t>
  </si>
  <si>
    <t>example136@email.com</t>
  </si>
  <si>
    <t>SN-0000136</t>
  </si>
  <si>
    <t>Address 000135</t>
  </si>
  <si>
    <t>example135@email.com</t>
  </si>
  <si>
    <t>SN-0000135</t>
  </si>
  <si>
    <t>Address 000134</t>
  </si>
  <si>
    <t>example134@email.com</t>
  </si>
  <si>
    <t>SN-0000134</t>
  </si>
  <si>
    <t>Address 000133</t>
  </si>
  <si>
    <t>example133@email.com</t>
  </si>
  <si>
    <t>SN-0000133</t>
  </si>
  <si>
    <t>Address 000132</t>
  </si>
  <si>
    <t>example132@email.com</t>
  </si>
  <si>
    <t>SN-0000132</t>
  </si>
  <si>
    <t>Address 000131</t>
  </si>
  <si>
    <t>example131@email.com</t>
  </si>
  <si>
    <t>SN-0000131</t>
  </si>
  <si>
    <t>Address 000130</t>
  </si>
  <si>
    <t>example130@email.com</t>
  </si>
  <si>
    <t>SN-0000130</t>
  </si>
  <si>
    <t>Address 000129</t>
  </si>
  <si>
    <t>example129@email.com</t>
  </si>
  <si>
    <t>SN-0000129</t>
  </si>
  <si>
    <t>Address 000128</t>
  </si>
  <si>
    <t>example128@email.com</t>
  </si>
  <si>
    <t>SN-0000128</t>
  </si>
  <si>
    <t>Address 000127</t>
  </si>
  <si>
    <t>example127@email.com</t>
  </si>
  <si>
    <t>SN-0000127</t>
  </si>
  <si>
    <t>Address 000126</t>
  </si>
  <si>
    <t>example126@email.com</t>
  </si>
  <si>
    <t>SN-0000126</t>
  </si>
  <si>
    <t>Address 000125</t>
  </si>
  <si>
    <t>example125@email.com</t>
  </si>
  <si>
    <t>SN-0000125</t>
  </si>
  <si>
    <t>Address 000124</t>
  </si>
  <si>
    <t>example124@email.com</t>
  </si>
  <si>
    <t>SN-0000124</t>
  </si>
  <si>
    <t>Address 000123</t>
  </si>
  <si>
    <t>example123@email.com</t>
  </si>
  <si>
    <t>SN-0000123</t>
  </si>
  <si>
    <t>Address 000122</t>
  </si>
  <si>
    <t>exampe122@email.com</t>
  </si>
  <si>
    <t>SN-0000122</t>
  </si>
  <si>
    <t>Address 000121</t>
  </si>
  <si>
    <t>example121@email.com</t>
  </si>
  <si>
    <t>SN-0000121</t>
  </si>
  <si>
    <t>Address 000120</t>
  </si>
  <si>
    <t>example120@email.com</t>
  </si>
  <si>
    <t>SN-0000120</t>
  </si>
  <si>
    <t>Address 000119</t>
  </si>
  <si>
    <t>example119@email.com</t>
  </si>
  <si>
    <t>SN-0000119</t>
  </si>
  <si>
    <t>Address 000118</t>
  </si>
  <si>
    <t>example118@email.com</t>
  </si>
  <si>
    <t>SN-0000118</t>
  </si>
  <si>
    <t>Address 000117</t>
  </si>
  <si>
    <t>example117@email.com</t>
  </si>
  <si>
    <t>SN-0000117</t>
  </si>
  <si>
    <t>Address 000116</t>
  </si>
  <si>
    <t>example116@email.com</t>
  </si>
  <si>
    <t>SN-0000116</t>
  </si>
  <si>
    <t>Address 000115</t>
  </si>
  <si>
    <t>example115@email.com</t>
  </si>
  <si>
    <t>SN-0000115</t>
  </si>
  <si>
    <t>Address 000114</t>
  </si>
  <si>
    <t>example114@email.com</t>
  </si>
  <si>
    <t>SN-0000114</t>
  </si>
  <si>
    <t>Address 000113</t>
  </si>
  <si>
    <t>example113@email.com</t>
  </si>
  <si>
    <t>SN-0000113</t>
  </si>
  <si>
    <t>Address 000112</t>
  </si>
  <si>
    <t>exampe112@email.com</t>
  </si>
  <si>
    <t>SN-0000112</t>
  </si>
  <si>
    <t>Address 000111</t>
  </si>
  <si>
    <t>example111@email.com</t>
  </si>
  <si>
    <t>SN-0000111</t>
  </si>
  <si>
    <t>Address 000110</t>
  </si>
  <si>
    <t>example110@email.com</t>
  </si>
  <si>
    <t>SN-0000110</t>
  </si>
  <si>
    <t>Address 000109</t>
  </si>
  <si>
    <t>example109@email.com</t>
  </si>
  <si>
    <t>SN-0000109</t>
  </si>
  <si>
    <t>Address 000108</t>
  </si>
  <si>
    <t>example108@email.com</t>
  </si>
  <si>
    <t>SN-0000108</t>
  </si>
  <si>
    <t>Address 000107</t>
  </si>
  <si>
    <t>example107@email.com</t>
  </si>
  <si>
    <t>SN-0000107</t>
  </si>
  <si>
    <t>Address 000106</t>
  </si>
  <si>
    <t>example106@email.com</t>
  </si>
  <si>
    <t>SN-0000106</t>
  </si>
  <si>
    <t>Address 000105</t>
  </si>
  <si>
    <t>example105@email.com</t>
  </si>
  <si>
    <t>SN-0000105</t>
  </si>
  <si>
    <t>Address 000104</t>
  </si>
  <si>
    <t>example104@email.com</t>
  </si>
  <si>
    <t>SN-0000104</t>
  </si>
  <si>
    <t>Address 000103</t>
  </si>
  <si>
    <t>example103@email.com</t>
  </si>
  <si>
    <t>SN-0000103</t>
  </si>
  <si>
    <t>Address 000102</t>
  </si>
  <si>
    <t>example102@email.com</t>
  </si>
  <si>
    <t>SN-0000102</t>
  </si>
  <si>
    <t>Address 000101</t>
  </si>
  <si>
    <t>example101@email.com</t>
  </si>
  <si>
    <t>SN-0000101</t>
  </si>
  <si>
    <t>Address 000100</t>
  </si>
  <si>
    <t>example100@email.com</t>
  </si>
  <si>
    <t>SN-0000100</t>
  </si>
  <si>
    <t>Address 000099</t>
  </si>
  <si>
    <t>example99@email.com</t>
  </si>
  <si>
    <t>SN-0000099</t>
  </si>
  <si>
    <t>Address 000098</t>
  </si>
  <si>
    <t>example98@email.com</t>
  </si>
  <si>
    <t>SN-0000098</t>
  </si>
  <si>
    <t>Address 000097</t>
  </si>
  <si>
    <t>example97@email.com</t>
  </si>
  <si>
    <t>SN-0000097</t>
  </si>
  <si>
    <t>Address 000096</t>
  </si>
  <si>
    <t>example96@email.com</t>
  </si>
  <si>
    <t>SN-0000096</t>
  </si>
  <si>
    <t>Address 000095</t>
  </si>
  <si>
    <t>example95@email.com</t>
  </si>
  <si>
    <t>SN-0000095</t>
  </si>
  <si>
    <t>Address 000094</t>
  </si>
  <si>
    <t>example94@email.com</t>
  </si>
  <si>
    <t>SN-0000094</t>
  </si>
  <si>
    <t>Address 000093</t>
  </si>
  <si>
    <t>example93@email.com</t>
  </si>
  <si>
    <t>SN-0000093</t>
  </si>
  <si>
    <t>Address 000092</t>
  </si>
  <si>
    <t>example92@email.com</t>
  </si>
  <si>
    <t>SN-0000092</t>
  </si>
  <si>
    <t>Address 000091</t>
  </si>
  <si>
    <t>example91@email.com</t>
  </si>
  <si>
    <t>SN-0000091</t>
  </si>
  <si>
    <t>Address 000090</t>
  </si>
  <si>
    <t>example90@email.com</t>
  </si>
  <si>
    <t>SN-0000090</t>
  </si>
  <si>
    <t>Address 000089</t>
  </si>
  <si>
    <t>example89@email.com</t>
  </si>
  <si>
    <t>SN-0000089</t>
  </si>
  <si>
    <t>Address 000088</t>
  </si>
  <si>
    <t>example88@email.com</t>
  </si>
  <si>
    <t>SN-0000088</t>
  </si>
  <si>
    <t>Address 000087</t>
  </si>
  <si>
    <t>example87@email.com</t>
  </si>
  <si>
    <t>SN-0000087</t>
  </si>
  <si>
    <t>Address 000086</t>
  </si>
  <si>
    <t>example86@email.com</t>
  </si>
  <si>
    <t>SN-0000086</t>
  </si>
  <si>
    <t>Address 000085</t>
  </si>
  <si>
    <t>example85@email.com</t>
  </si>
  <si>
    <t>SN-0000085</t>
  </si>
  <si>
    <t>Address 000084</t>
  </si>
  <si>
    <t>example84@email.com</t>
  </si>
  <si>
    <t>SN-0000084</t>
  </si>
  <si>
    <t>Address 000083</t>
  </si>
  <si>
    <t>example83@email.com</t>
  </si>
  <si>
    <t>SN-0000083</t>
  </si>
  <si>
    <t>Address 000082</t>
  </si>
  <si>
    <t>example82@email.com</t>
  </si>
  <si>
    <t>SN-0000082</t>
  </si>
  <si>
    <t>Address 000081</t>
  </si>
  <si>
    <t>example81@email.com</t>
  </si>
  <si>
    <t>SN-0000081</t>
  </si>
  <si>
    <t>Address 000080</t>
  </si>
  <si>
    <t>example80@email.com</t>
  </si>
  <si>
    <t>SN-0000080</t>
  </si>
  <si>
    <t>Address 000079</t>
  </si>
  <si>
    <t>example79@email.com</t>
  </si>
  <si>
    <t>SN-0000079</t>
  </si>
  <si>
    <t>Address 000078</t>
  </si>
  <si>
    <t>example78@email.com</t>
  </si>
  <si>
    <t>SN-0000078</t>
  </si>
  <si>
    <t>Address 000077</t>
  </si>
  <si>
    <t>example77@email.com</t>
  </si>
  <si>
    <t>SN-0000077</t>
  </si>
  <si>
    <t>Address 000076</t>
  </si>
  <si>
    <t>example76@email.com</t>
  </si>
  <si>
    <t>SN-0000076</t>
  </si>
  <si>
    <t>Address 000075</t>
  </si>
  <si>
    <t>example75@email.com</t>
  </si>
  <si>
    <t>SN-0000075</t>
  </si>
  <si>
    <t>Address 000074</t>
  </si>
  <si>
    <t>example74@email.com</t>
  </si>
  <si>
    <t>SN-0000074</t>
  </si>
  <si>
    <t>Address 000073</t>
  </si>
  <si>
    <t>example73@email.com</t>
  </si>
  <si>
    <t>SN-0000073</t>
  </si>
  <si>
    <t>Address 000072</t>
  </si>
  <si>
    <t>example72@email.com</t>
  </si>
  <si>
    <t>SN-0000072</t>
  </si>
  <si>
    <t>Address 000071</t>
  </si>
  <si>
    <t>example71@email.com</t>
  </si>
  <si>
    <t>SN-0000071</t>
  </si>
  <si>
    <t>Address 000070</t>
  </si>
  <si>
    <t>example70@email.com</t>
  </si>
  <si>
    <t>SN-0000070</t>
  </si>
  <si>
    <t>Address 000069</t>
  </si>
  <si>
    <t>example69@email.com</t>
  </si>
  <si>
    <t>SN-0000069</t>
  </si>
  <si>
    <t>Address 000068</t>
  </si>
  <si>
    <t>example68@email.com</t>
  </si>
  <si>
    <t>SN-0000068</t>
  </si>
  <si>
    <t>Address 000067</t>
  </si>
  <si>
    <t>example67@email.com</t>
  </si>
  <si>
    <t>SN-0000067</t>
  </si>
  <si>
    <t>Address 000066</t>
  </si>
  <si>
    <t>example66@email.com</t>
  </si>
  <si>
    <t>SN-0000066</t>
  </si>
  <si>
    <t>Address 000065</t>
  </si>
  <si>
    <t>example65@email.com</t>
  </si>
  <si>
    <t>SN-0000065</t>
  </si>
  <si>
    <t>Address 000064</t>
  </si>
  <si>
    <t>example64@email.com</t>
  </si>
  <si>
    <t>SN-0000064</t>
  </si>
  <si>
    <t>Address 000063</t>
  </si>
  <si>
    <t>example63@email.com</t>
  </si>
  <si>
    <t>SN-0000063</t>
  </si>
  <si>
    <t>Address 000062</t>
  </si>
  <si>
    <t>example62@email.com</t>
  </si>
  <si>
    <t>SN-0000062</t>
  </si>
  <si>
    <t>Address 000061</t>
  </si>
  <si>
    <t>example61@email.com</t>
  </si>
  <si>
    <t>SN-0000061</t>
  </si>
  <si>
    <t>Address 000060</t>
  </si>
  <si>
    <t>example60@email.com</t>
  </si>
  <si>
    <t>SN-0000060</t>
  </si>
  <si>
    <t>Address 000059</t>
  </si>
  <si>
    <t>example59@email.com</t>
  </si>
  <si>
    <t>SN-0000059</t>
  </si>
  <si>
    <t>Address 000058</t>
  </si>
  <si>
    <t>example58@email.com</t>
  </si>
  <si>
    <t>SN-0000058</t>
  </si>
  <si>
    <t>Address 000057</t>
  </si>
  <si>
    <t>example57@email.com</t>
  </si>
  <si>
    <t>SN-0000057</t>
  </si>
  <si>
    <t>Address 000056</t>
  </si>
  <si>
    <t>example56@email.com</t>
  </si>
  <si>
    <t>SN-0000056</t>
  </si>
  <si>
    <t>Address 000055</t>
  </si>
  <si>
    <t>example55@email.com</t>
  </si>
  <si>
    <t>SN-0000055</t>
  </si>
  <si>
    <t>Address 000054</t>
  </si>
  <si>
    <t>example54@email.com</t>
  </si>
  <si>
    <t>SN-0000054</t>
  </si>
  <si>
    <t>Address 000053</t>
  </si>
  <si>
    <t>example53@email.com</t>
  </si>
  <si>
    <t>SN-0000053</t>
  </si>
  <si>
    <t>Address 000052</t>
  </si>
  <si>
    <t>example52@email.com</t>
  </si>
  <si>
    <t>SN-0000052</t>
  </si>
  <si>
    <t>Address 000051</t>
  </si>
  <si>
    <t>example51@email.com</t>
  </si>
  <si>
    <t>SN-0000051</t>
  </si>
  <si>
    <t>Address 000050</t>
  </si>
  <si>
    <t>example50@email.com</t>
  </si>
  <si>
    <t>SN-0000050</t>
  </si>
  <si>
    <t>Address 000049</t>
  </si>
  <si>
    <t>example49@email.com</t>
  </si>
  <si>
    <t>SN-0000049</t>
  </si>
  <si>
    <t>Address 000048</t>
  </si>
  <si>
    <t>example48@email.com</t>
  </si>
  <si>
    <t>SN-0000048</t>
  </si>
  <si>
    <t>Address 000047</t>
  </si>
  <si>
    <t>example47@email.com</t>
  </si>
  <si>
    <t>SN-0000047</t>
  </si>
  <si>
    <t>Address 000046</t>
  </si>
  <si>
    <t>example46@email.com</t>
  </si>
  <si>
    <t>SN-0000046</t>
  </si>
  <si>
    <t>Address 000045</t>
  </si>
  <si>
    <t>example45@email.com</t>
  </si>
  <si>
    <t>SN-0000045</t>
  </si>
  <si>
    <t>Address 000044</t>
  </si>
  <si>
    <t>example44@email.com</t>
  </si>
  <si>
    <t>SN-0000044</t>
  </si>
  <si>
    <t>Address 000043</t>
  </si>
  <si>
    <t>example43@email.com</t>
  </si>
  <si>
    <t>SN-0000043</t>
  </si>
  <si>
    <t>Address 000042</t>
  </si>
  <si>
    <t>example42@email.com</t>
  </si>
  <si>
    <t>SN-0000042</t>
  </si>
  <si>
    <t>Address 000041</t>
  </si>
  <si>
    <t>example41@email.com</t>
  </si>
  <si>
    <t>SN-0000041</t>
  </si>
  <si>
    <t>Address 000040</t>
  </si>
  <si>
    <t>example40@email.com</t>
  </si>
  <si>
    <t>SN-0000040</t>
  </si>
  <si>
    <t>Address 000039</t>
  </si>
  <si>
    <t>example39@email.com</t>
  </si>
  <si>
    <t>SN-0000039</t>
  </si>
  <si>
    <t>Address 000038</t>
  </si>
  <si>
    <t>example38@email.com</t>
  </si>
  <si>
    <t>SN-0000038</t>
  </si>
  <si>
    <t>Address 000037</t>
  </si>
  <si>
    <t>example37@email.com</t>
  </si>
  <si>
    <t>SN-0000037</t>
  </si>
  <si>
    <t>Address 000036</t>
  </si>
  <si>
    <t>example36@email.com</t>
  </si>
  <si>
    <t>SN-0000036</t>
  </si>
  <si>
    <t>Address 000035</t>
  </si>
  <si>
    <t>example35@email.com</t>
  </si>
  <si>
    <t>SN-0000035</t>
  </si>
  <si>
    <t>Address 000034</t>
  </si>
  <si>
    <t>example34@email.com</t>
  </si>
  <si>
    <t>SN-0000034</t>
  </si>
  <si>
    <t>Address 000033</t>
  </si>
  <si>
    <t>example33@email.com</t>
  </si>
  <si>
    <t>SN-0000033</t>
  </si>
  <si>
    <t>Address 000032</t>
  </si>
  <si>
    <t>example32@email.com</t>
  </si>
  <si>
    <t>SN-0000032</t>
  </si>
  <si>
    <t>Address 000031</t>
  </si>
  <si>
    <t>example31@email.com</t>
  </si>
  <si>
    <t>SN-0000031</t>
  </si>
  <si>
    <t>Address 000030</t>
  </si>
  <si>
    <t>example30@email.com</t>
  </si>
  <si>
    <t>SN-0000030</t>
  </si>
  <si>
    <t>Address 000029</t>
  </si>
  <si>
    <t>example29@email.com</t>
  </si>
  <si>
    <t>SN-0000029</t>
  </si>
  <si>
    <t>Address 000028</t>
  </si>
  <si>
    <t>example28@email.com</t>
  </si>
  <si>
    <t>SN-0000028</t>
  </si>
  <si>
    <t>Address 000027</t>
  </si>
  <si>
    <t>example27@email.com</t>
  </si>
  <si>
    <t>SN-0000027</t>
  </si>
  <si>
    <t>Address 000026</t>
  </si>
  <si>
    <t>example26@email.com</t>
  </si>
  <si>
    <t>SN-0000026</t>
  </si>
  <si>
    <t>Address 000025</t>
  </si>
  <si>
    <t>example25@email.com</t>
  </si>
  <si>
    <t>SN-0000025</t>
  </si>
  <si>
    <t>Address 000024</t>
  </si>
  <si>
    <t>example24@email.com</t>
  </si>
  <si>
    <t>SN-0000024</t>
  </si>
  <si>
    <t>Address 000023</t>
  </si>
  <si>
    <t>example23@email.com</t>
  </si>
  <si>
    <t>SN-0000023</t>
  </si>
  <si>
    <t>Address 000022</t>
  </si>
  <si>
    <t>example22@email.com</t>
  </si>
  <si>
    <t>SN-0000022</t>
  </si>
  <si>
    <t>Address 000021</t>
  </si>
  <si>
    <t>example21@email.com</t>
  </si>
  <si>
    <t>SN-0000021</t>
  </si>
  <si>
    <t>Address 000020</t>
  </si>
  <si>
    <t>example20@email.com</t>
  </si>
  <si>
    <t>SN-0000020</t>
  </si>
  <si>
    <t>Address 000019</t>
  </si>
  <si>
    <t>example19@email.com</t>
  </si>
  <si>
    <t>SN-0000019</t>
  </si>
  <si>
    <t>Address 000018</t>
  </si>
  <si>
    <t>example18@email.com</t>
  </si>
  <si>
    <t>SN-0000018</t>
  </si>
  <si>
    <t>Address 000017</t>
  </si>
  <si>
    <t>example17@email.com</t>
  </si>
  <si>
    <t>SN-0000017</t>
  </si>
  <si>
    <t>Address 000016</t>
  </si>
  <si>
    <t>example16@email.com</t>
  </si>
  <si>
    <t>SN-0000016</t>
  </si>
  <si>
    <t>Address 000015</t>
  </si>
  <si>
    <t>example15@email.com</t>
  </si>
  <si>
    <t>SN-0000015</t>
  </si>
  <si>
    <t>Address 000014</t>
  </si>
  <si>
    <t>example14@email.com</t>
  </si>
  <si>
    <t>SN-0000014</t>
  </si>
  <si>
    <t>Address 000013</t>
  </si>
  <si>
    <t>example13@email.com</t>
  </si>
  <si>
    <t>SN-0000013</t>
  </si>
  <si>
    <t>Address 000012</t>
  </si>
  <si>
    <t>example12@email.com</t>
  </si>
  <si>
    <t>SN-0000012</t>
  </si>
  <si>
    <t>Address 000011</t>
  </si>
  <si>
    <t>example11@email.com</t>
  </si>
  <si>
    <t>SN-0000011</t>
  </si>
  <si>
    <t>Address 000010</t>
  </si>
  <si>
    <t>example10@email.com</t>
  </si>
  <si>
    <t>SN-0000010</t>
  </si>
  <si>
    <t>Address 000009</t>
  </si>
  <si>
    <t>example9@email.com</t>
  </si>
  <si>
    <t>SN-0000009</t>
  </si>
  <si>
    <t>Address 000008</t>
  </si>
  <si>
    <t>example8@email.com</t>
  </si>
  <si>
    <t>SN-0000008</t>
  </si>
  <si>
    <t>Address 000007</t>
  </si>
  <si>
    <t>example7@email.com</t>
  </si>
  <si>
    <t>SN-0000007</t>
  </si>
  <si>
    <t>Address 000006</t>
  </si>
  <si>
    <t>example6@email.com</t>
  </si>
  <si>
    <t>SN-0000006</t>
  </si>
  <si>
    <t>Address 000005</t>
  </si>
  <si>
    <t>example5@email.com</t>
  </si>
  <si>
    <t>SN-0000005</t>
  </si>
  <si>
    <t>Address 000004</t>
  </si>
  <si>
    <t>example4@email.com</t>
  </si>
  <si>
    <t>SN-0000004</t>
  </si>
  <si>
    <t>Address 000003</t>
  </si>
  <si>
    <t>example3@email.com</t>
  </si>
  <si>
    <t>SN-0000003</t>
  </si>
  <si>
    <t>Address 000002</t>
  </si>
  <si>
    <t>example2@email.com</t>
  </si>
  <si>
    <t>SN-0000002</t>
  </si>
  <si>
    <t>Address 000001</t>
  </si>
  <si>
    <t>example1@email.com</t>
  </si>
  <si>
    <t>SN-0000001</t>
  </si>
  <si>
    <t>Most recent Maintenance Date</t>
  </si>
  <si>
    <t>Warranty Expiration</t>
  </si>
  <si>
    <t>Mode of Payment</t>
  </si>
  <si>
    <t>Total Contract Value</t>
  </si>
  <si>
    <t>Installation Date (M/D/Y)</t>
  </si>
  <si>
    <t>Battery Storage</t>
  </si>
  <si>
    <t>Panel Model &amp; Quantity</t>
  </si>
  <si>
    <t>System Size</t>
  </si>
  <si>
    <t>Lead Source</t>
  </si>
  <si>
    <t>Installation Address</t>
  </si>
  <si>
    <t>Email</t>
  </si>
  <si>
    <t>Phone</t>
  </si>
  <si>
    <t>Full Name</t>
  </si>
  <si>
    <r>
      <t>Serial Number (</t>
    </r>
    <r>
      <rPr>
        <b/>
        <i/>
        <sz val="11"/>
        <color theme="0"/>
        <rFont val="Calibri"/>
        <family val="2"/>
        <scheme val="minor"/>
      </rPr>
      <t>unique identifier</t>
    </r>
    <r>
      <rPr>
        <b/>
        <sz val="11"/>
        <color theme="0"/>
        <rFont val="Calibri"/>
        <family val="2"/>
        <scheme val="minor"/>
      </rPr>
      <t>)</t>
    </r>
  </si>
  <si>
    <t>Installation Date</t>
  </si>
  <si>
    <t>INSTALLATION ADDRESS</t>
  </si>
  <si>
    <t>EMAIL</t>
  </si>
  <si>
    <t>PHONE</t>
  </si>
  <si>
    <t>FULL NAME</t>
  </si>
  <si>
    <r>
      <t>Serial Number (</t>
    </r>
    <r>
      <rPr>
        <b/>
        <i/>
        <sz val="14"/>
        <color theme="1"/>
        <rFont val="Calibri Light"/>
        <family val="2"/>
        <scheme val="major"/>
      </rPr>
      <t>unique identifier</t>
    </r>
    <r>
      <rPr>
        <b/>
        <sz val="14"/>
        <color theme="1"/>
        <rFont val="Calibri Light"/>
        <family val="2"/>
        <scheme val="major"/>
      </rPr>
      <t>)</t>
    </r>
  </si>
  <si>
    <t>Installation Month</t>
  </si>
  <si>
    <t>CURRENT MONTH COUNT</t>
  </si>
  <si>
    <t>PREVIOUS MONTH COUNT</t>
  </si>
  <si>
    <t>% CHANGE</t>
  </si>
  <si>
    <t>ARROW INDICATOR</t>
  </si>
  <si>
    <t>CUSTOMER COUNT</t>
  </si>
  <si>
    <t>CURRENT MONTH</t>
  </si>
  <si>
    <t>PREVIOUS MONTH</t>
  </si>
  <si>
    <t>PERIOD LABEL</t>
  </si>
  <si>
    <t>Jun</t>
  </si>
  <si>
    <t>TOTAL REVENUE</t>
  </si>
  <si>
    <t>AVERAGE SYSTEM SIZE</t>
  </si>
  <si>
    <t>Count</t>
  </si>
  <si>
    <t>Apr</t>
  </si>
  <si>
    <t>May</t>
  </si>
  <si>
    <t>Jul</t>
  </si>
  <si>
    <t>Aug</t>
  </si>
  <si>
    <t>Sep</t>
  </si>
  <si>
    <t>Oct</t>
  </si>
  <si>
    <t>Grand Total</t>
  </si>
  <si>
    <t>Month</t>
  </si>
  <si>
    <t>Count of Installations</t>
  </si>
  <si>
    <t>BUILD PROFESSIONALISM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</si>
</sst>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₦-470]#,##0.00"/>
    <numFmt numFmtId="165" formatCode="0\ &quot;kVA&quot;"/>
    <numFmt numFmtId="166" formatCode="0\K\V\A"/>
    <numFmt numFmtId="167" formatCode="0.0%"/>
    <numFmt numFmtId="168" formatCode="&quot;₦&quot;0.0,,,&quot;M&quot;"/>
    <numFmt numFmtId="169" formatCode="0&quot;kVA&quot;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i/>
      <sz val="14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Open"/>
    </font>
    <font>
      <i/>
      <sz val="11"/>
      <color theme="1"/>
      <name val="Segoe UI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2" fillId="0" borderId="0" xfId="0" applyNumberFormat="1" applyFont="1" applyAlignment="1">
      <alignment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3" fillId="0" borderId="0" xfId="1" applyBorder="1" applyAlignment="1">
      <alignment horizontal="left" vertical="center" indent="1" readingOrder="1"/>
    </xf>
    <xf numFmtId="0" fontId="4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wrapText="1" indent="1" readingOrder="1"/>
    </xf>
    <xf numFmtId="0" fontId="6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horizontal="right" wrapText="1"/>
    </xf>
    <xf numFmtId="0" fontId="10" fillId="0" borderId="1" xfId="0" applyFont="1" applyBorder="1"/>
    <xf numFmtId="0" fontId="0" fillId="0" borderId="1" xfId="0" applyBorder="1"/>
    <xf numFmtId="167" fontId="0" fillId="0" borderId="1" xfId="2" applyNumberFormat="1" applyFont="1" applyBorder="1"/>
    <xf numFmtId="0" fontId="0" fillId="0" borderId="1" xfId="0" applyBorder="1" applyAlignment="1">
      <alignment horizontal="right"/>
    </xf>
    <xf numFmtId="0" fontId="3" fillId="0" borderId="0" xfId="1" applyAlignment="1">
      <alignment horizontal="left" vertical="center" indent="1" readingOrder="1"/>
    </xf>
    <xf numFmtId="165" fontId="0" fillId="0" borderId="0" xfId="0" applyNumberFormat="1"/>
    <xf numFmtId="168" fontId="0" fillId="0" borderId="1" xfId="0" applyNumberFormat="1" applyBorder="1" applyAlignment="1">
      <alignment horizontal="right"/>
    </xf>
    <xf numFmtId="169" fontId="0" fillId="0" borderId="1" xfId="0" applyNumberFormat="1" applyBorder="1"/>
    <xf numFmtId="0" fontId="11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23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numFmt numFmtId="0" formatCode="General"/>
    </dxf>
    <dxf>
      <numFmt numFmtId="165" formatCode="0\ &quot;kVA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₦-470]#,##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\ &quot;kVA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</a:rPr>
              <a:t>WHO BROUGHT</a:t>
            </a:r>
            <a:r>
              <a:rPr lang="en-US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IT IN</a:t>
            </a:r>
            <a:endParaRPr lang="en-US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27571325189289608"/>
          <c:y val="5.4298642533936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36228782747803"/>
          <c:y val="0.15937010648770258"/>
          <c:w val="0.5488652968510862"/>
          <c:h val="0.68995019477419461"/>
        </c:manualLayout>
      </c:layout>
      <c:doughnutChart>
        <c:varyColors val="1"/>
        <c:ser>
          <c:idx val="0"/>
          <c:order val="0"/>
          <c:tx>
            <c:strRef>
              <c:f>'Lead Source'!$E$21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42-45F1-8F4B-6A1E778C47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42-45F1-8F4B-6A1E778C47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'Lead Source'!$D$22:$D$23</c:f>
              <c:strCache>
                <c:ptCount val="2"/>
                <c:pt idx="0">
                  <c:v>Amos</c:v>
                </c:pt>
                <c:pt idx="1">
                  <c:v>Angela</c:v>
                </c:pt>
              </c:strCache>
            </c:strRef>
          </c:cat>
          <c:val>
            <c:numRef>
              <c:f>'Lead Source'!$E$22:$E$23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A-4D76-B976-4723D915C4C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latin typeface="Segoe UI Black" panose="020B0A02040204020203" pitchFamily="34" charset="0"/>
                <a:ea typeface="Segoe UI Black" panose="020B0A02040204020203" pitchFamily="34" charset="0"/>
              </a:rPr>
              <a:t>Solar System Size Popularity</a:t>
            </a:r>
            <a:endParaRPr lang="en-US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'System Distribution'!$K$21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32-4022-8473-0DE67F295291}"/>
              </c:ext>
            </c:extLst>
          </c:dPt>
          <c:cat>
            <c:numRef>
              <c:f>'System Distribution'!$J$22:$J$26</c:f>
              <c:numCache>
                <c:formatCode>0\ "kVA"</c:formatCode>
                <c:ptCount val="5"/>
                <c:pt idx="0">
                  <c:v>1</c:v>
                </c:pt>
                <c:pt idx="1">
                  <c:v>15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cat>
          <c:val>
            <c:numRef>
              <c:f>'System Distribution'!$K$22:$K$26</c:f>
              <c:numCache>
                <c:formatCode>General</c:formatCode>
                <c:ptCount val="5"/>
                <c:pt idx="0">
                  <c:v>33</c:v>
                </c:pt>
                <c:pt idx="1">
                  <c:v>39</c:v>
                </c:pt>
                <c:pt idx="2">
                  <c:v>41</c:v>
                </c:pt>
                <c:pt idx="3">
                  <c:v>42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E-407E-9863-C2B69B1E1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0123096"/>
        <c:axId val="610124176"/>
      </c:barChart>
      <c:catAx>
        <c:axId val="610123096"/>
        <c:scaling>
          <c:orientation val="minMax"/>
        </c:scaling>
        <c:delete val="0"/>
        <c:axPos val="l"/>
        <c:numFmt formatCode="0\ &quot;kV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24176"/>
        <c:crosses val="autoZero"/>
        <c:auto val="1"/>
        <c:lblAlgn val="ctr"/>
        <c:lblOffset val="100"/>
        <c:noMultiLvlLbl val="0"/>
      </c:catAx>
      <c:valAx>
        <c:axId val="6101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23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[SOLAR DASHBOARD.xlsx]Installation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</a:rPr>
              <a:t>Installation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'Installation Trend'!$C$2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'Installation Trend'!$B$3:$B$10</c:f>
              <c:strCache>
                <c:ptCount val="7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</c:strCache>
            </c:strRef>
          </c:cat>
          <c:val>
            <c:numRef>
              <c:f>'Installation Trend'!$C$3:$C$10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30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F-4E94-A84C-DA154FFE2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666952"/>
        <c:axId val="522667672"/>
      </c:lineChart>
      <c:catAx>
        <c:axId val="52266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67672"/>
        <c:crosses val="autoZero"/>
        <c:auto val="1"/>
        <c:lblAlgn val="ctr"/>
        <c:lblOffset val="100"/>
        <c:noMultiLvlLbl val="0"/>
      </c:catAx>
      <c:valAx>
        <c:axId val="52266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6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219075</xdr:rowOff>
    </xdr:from>
    <xdr:to>
      <xdr:col>8</xdr:col>
      <xdr:colOff>400050</xdr:colOff>
      <xdr:row>6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6B67C8-2212-6275-E0DC-06DA6F375AE2}"/>
            </a:ext>
          </a:extLst>
        </xdr:cNvPr>
        <xdr:cNvSpPr txBox="1"/>
      </xdr:nvSpPr>
      <xdr:spPr>
        <a:xfrm>
          <a:off x="5276850" y="1171575"/>
          <a:ext cx="3857625" cy="676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Segoe UI Emoj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rPr>
            <a:t>A</a:t>
          </a:r>
          <a:r>
            <a:rPr lang="en-US" sz="1100" baseline="0">
              <a:latin typeface="Segoe UI Emoj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rPr>
            <a:t> client calls with a complaint about their system and with their </a:t>
          </a:r>
          <a:r>
            <a:rPr lang="en-US" sz="1100" b="1" i="0" baseline="0">
              <a:latin typeface="Segoe UI Emoj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rPr>
            <a:t>unique identifier</a:t>
          </a:r>
          <a:r>
            <a:rPr lang="en-US" sz="1100" baseline="0">
              <a:latin typeface="Segoe UI Emoji" panose="020B0502040204020203" pitchFamily="34" charset="0"/>
              <a:ea typeface="Segoe UI Emoji" panose="020B0502040204020203" pitchFamily="34" charset="0"/>
              <a:cs typeface="Segoe UI" panose="020B0502040204020203" pitchFamily="34" charset="0"/>
            </a:rPr>
            <a:t>, you pull up their information in seconds and address it.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</xdr:row>
      <xdr:rowOff>38100</xdr:rowOff>
    </xdr:from>
    <xdr:to>
      <xdr:col>8</xdr:col>
      <xdr:colOff>371475</xdr:colOff>
      <xdr:row>8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C76F778-98B9-47CD-A669-B5F2605A952C}"/>
            </a:ext>
          </a:extLst>
        </xdr:cNvPr>
        <xdr:cNvSpPr/>
      </xdr:nvSpPr>
      <xdr:spPr>
        <a:xfrm>
          <a:off x="4638675" y="228600"/>
          <a:ext cx="2714625" cy="1438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63500" dir="2700000" algn="tl" rotWithShape="0">
            <a:prstClr val="black">
              <a:alpha val="3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590550</xdr:colOff>
      <xdr:row>1</xdr:row>
      <xdr:rowOff>19050</xdr:rowOff>
    </xdr:from>
    <xdr:to>
      <xdr:col>4</xdr:col>
      <xdr:colOff>200025</xdr:colOff>
      <xdr:row>8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7BA8EF-B9ED-ADD7-7E17-32A1D61F0F04}"/>
            </a:ext>
          </a:extLst>
        </xdr:cNvPr>
        <xdr:cNvSpPr/>
      </xdr:nvSpPr>
      <xdr:spPr>
        <a:xfrm>
          <a:off x="1200150" y="209550"/>
          <a:ext cx="2714625" cy="1438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63500" dir="2700000" algn="tl" rotWithShape="0">
            <a:prstClr val="black">
              <a:alpha val="3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466725</xdr:colOff>
      <xdr:row>1</xdr:row>
      <xdr:rowOff>114300</xdr:rowOff>
    </xdr:from>
    <xdr:to>
      <xdr:col>5</xdr:col>
      <xdr:colOff>238125</xdr:colOff>
      <xdr:row>3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35F147-67C1-E0E0-E5B8-B3D6AAD5C69E}"/>
            </a:ext>
          </a:extLst>
        </xdr:cNvPr>
        <xdr:cNvSpPr txBox="1"/>
      </xdr:nvSpPr>
      <xdr:spPr>
        <a:xfrm>
          <a:off x="466725" y="304800"/>
          <a:ext cx="40957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atin typeface="Arial Black" panose="020B0A04020102020204" pitchFamily="34" charset="0"/>
            </a:rPr>
            <a:t>TOTAL CUSTOMERS</a:t>
          </a:r>
        </a:p>
      </xdr:txBody>
    </xdr:sp>
    <xdr:clientData/>
  </xdr:twoCellAnchor>
  <xdr:twoCellAnchor>
    <xdr:from>
      <xdr:col>0</xdr:col>
      <xdr:colOff>447675</xdr:colOff>
      <xdr:row>3</xdr:row>
      <xdr:rowOff>47625</xdr:rowOff>
    </xdr:from>
    <xdr:to>
      <xdr:col>5</xdr:col>
      <xdr:colOff>219075</xdr:colOff>
      <xdr:row>5</xdr:row>
      <xdr:rowOff>152400</xdr:rowOff>
    </xdr:to>
    <xdr:sp macro="" textlink="$D$13">
      <xdr:nvSpPr>
        <xdr:cNvPr id="4" name="TextBox 3">
          <a:extLst>
            <a:ext uri="{FF2B5EF4-FFF2-40B4-BE49-F238E27FC236}">
              <a16:creationId xmlns:a16="http://schemas.microsoft.com/office/drawing/2014/main" id="{22B55ADD-FF19-ECF0-58C4-ED159FC7E2F6}"/>
            </a:ext>
          </a:extLst>
        </xdr:cNvPr>
        <xdr:cNvSpPr txBox="1"/>
      </xdr:nvSpPr>
      <xdr:spPr>
        <a:xfrm>
          <a:off x="447675" y="619125"/>
          <a:ext cx="40957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A96AD5F-4418-432F-9973-17ADEFE1A6D4}" type="TxLink">
            <a:rPr lang="en-US" sz="40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200</a:t>
          </a:fld>
          <a:endParaRPr lang="en-US" sz="4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47624</xdr:colOff>
      <xdr:row>5</xdr:row>
      <xdr:rowOff>161925</xdr:rowOff>
    </xdr:from>
    <xdr:to>
      <xdr:col>2</xdr:col>
      <xdr:colOff>1600199</xdr:colOff>
      <xdr:row>8</xdr:row>
      <xdr:rowOff>76200</xdr:rowOff>
    </xdr:to>
    <xdr:sp macro="" textlink="$D$20">
      <xdr:nvSpPr>
        <xdr:cNvPr id="5" name="TextBox 4">
          <a:extLst>
            <a:ext uri="{FF2B5EF4-FFF2-40B4-BE49-F238E27FC236}">
              <a16:creationId xmlns:a16="http://schemas.microsoft.com/office/drawing/2014/main" id="{A95064C5-0EEF-37C0-4E2A-639CB0007CE0}"/>
            </a:ext>
          </a:extLst>
        </xdr:cNvPr>
        <xdr:cNvSpPr txBox="1"/>
      </xdr:nvSpPr>
      <xdr:spPr>
        <a:xfrm>
          <a:off x="1533524" y="1114425"/>
          <a:ext cx="15525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5B6A70-E21E-45F5-8378-5525A585D36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▼ 3.2%</a:t>
          </a:fld>
          <a:endParaRPr lang="en-US" sz="4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523874</xdr:colOff>
      <xdr:row>5</xdr:row>
      <xdr:rowOff>152400</xdr:rowOff>
    </xdr:from>
    <xdr:to>
      <xdr:col>3</xdr:col>
      <xdr:colOff>457199</xdr:colOff>
      <xdr:row>8</xdr:row>
      <xdr:rowOff>66675</xdr:rowOff>
    </xdr:to>
    <xdr:sp macro="" textlink="$D$21">
      <xdr:nvSpPr>
        <xdr:cNvPr id="6" name="TextBox 5">
          <a:extLst>
            <a:ext uri="{FF2B5EF4-FFF2-40B4-BE49-F238E27FC236}">
              <a16:creationId xmlns:a16="http://schemas.microsoft.com/office/drawing/2014/main" id="{20F28764-6801-637D-F0C2-4EBA7A66CD7E}"/>
            </a:ext>
          </a:extLst>
        </xdr:cNvPr>
        <xdr:cNvSpPr txBox="1"/>
      </xdr:nvSpPr>
      <xdr:spPr>
        <a:xfrm>
          <a:off x="2009774" y="1104900"/>
          <a:ext cx="15525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3DB7E55-033A-4C31-B0BC-BB1425B149B6}" type="TxLink">
            <a:rPr lang="en-US" sz="1100" b="0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vs May</a:t>
          </a:fld>
          <a:endParaRPr lang="en-US" sz="4000" b="1" i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85725</xdr:colOff>
      <xdr:row>1</xdr:row>
      <xdr:rowOff>171450</xdr:rowOff>
    </xdr:from>
    <xdr:to>
      <xdr:col>8</xdr:col>
      <xdr:colOff>19050</xdr:colOff>
      <xdr:row>3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7985FF-79CF-4C81-87C1-E4010834934C}"/>
            </a:ext>
          </a:extLst>
        </xdr:cNvPr>
        <xdr:cNvSpPr txBox="1"/>
      </xdr:nvSpPr>
      <xdr:spPr>
        <a:xfrm>
          <a:off x="5019675" y="361950"/>
          <a:ext cx="23336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atin typeface="Arial Black" panose="020B0A04020102020204" pitchFamily="34" charset="0"/>
            </a:rPr>
            <a:t>REVENUE GENERATED</a:t>
          </a:r>
        </a:p>
      </xdr:txBody>
    </xdr:sp>
    <xdr:clientData/>
  </xdr:twoCellAnchor>
  <xdr:twoCellAnchor>
    <xdr:from>
      <xdr:col>3</xdr:col>
      <xdr:colOff>561975</xdr:colOff>
      <xdr:row>3</xdr:row>
      <xdr:rowOff>171450</xdr:rowOff>
    </xdr:from>
    <xdr:to>
      <xdr:col>9</xdr:col>
      <xdr:colOff>0</xdr:colOff>
      <xdr:row>6</xdr:row>
      <xdr:rowOff>85725</xdr:rowOff>
    </xdr:to>
    <xdr:sp macro="" textlink="$D$22">
      <xdr:nvSpPr>
        <xdr:cNvPr id="9" name="TextBox 8">
          <a:extLst>
            <a:ext uri="{FF2B5EF4-FFF2-40B4-BE49-F238E27FC236}">
              <a16:creationId xmlns:a16="http://schemas.microsoft.com/office/drawing/2014/main" id="{BE018F96-D082-463A-995E-2A831D2642AC}"/>
            </a:ext>
          </a:extLst>
        </xdr:cNvPr>
        <xdr:cNvSpPr txBox="1"/>
      </xdr:nvSpPr>
      <xdr:spPr>
        <a:xfrm>
          <a:off x="3667125" y="742950"/>
          <a:ext cx="464820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C35E3F-C81A-43E0-BCB0-90AE1BB96E1E}" type="TxLink">
            <a:rPr lang="en-US" sz="40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₦13.0M</a:t>
          </a:fld>
          <a:endParaRPr lang="en-US" sz="4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1114425</xdr:colOff>
      <xdr:row>1</xdr:row>
      <xdr:rowOff>38100</xdr:rowOff>
    </xdr:from>
    <xdr:to>
      <xdr:col>11</xdr:col>
      <xdr:colOff>323850</xdr:colOff>
      <xdr:row>8</xdr:row>
      <xdr:rowOff>142875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27C0C84-1E37-40CB-BE61-E3603A046261}"/>
            </a:ext>
          </a:extLst>
        </xdr:cNvPr>
        <xdr:cNvSpPr/>
      </xdr:nvSpPr>
      <xdr:spPr>
        <a:xfrm>
          <a:off x="8096250" y="228600"/>
          <a:ext cx="2724150" cy="1438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63500" dir="2700000" algn="tl" rotWithShape="0">
            <a:prstClr val="black">
              <a:alpha val="3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1295400</xdr:colOff>
      <xdr:row>1</xdr:row>
      <xdr:rowOff>133350</xdr:rowOff>
    </xdr:from>
    <xdr:to>
      <xdr:col>11</xdr:col>
      <xdr:colOff>114300</xdr:colOff>
      <xdr:row>3</xdr:row>
      <xdr:rowOff>66675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0C2A6F-B818-474D-A193-CC95902F89D9}"/>
            </a:ext>
          </a:extLst>
        </xdr:cNvPr>
        <xdr:cNvSpPr txBox="1"/>
      </xdr:nvSpPr>
      <xdr:spPr>
        <a:xfrm>
          <a:off x="8629650" y="323850"/>
          <a:ext cx="23336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atin typeface="Arial Black" panose="020B0A04020102020204" pitchFamily="34" charset="0"/>
            </a:rPr>
            <a:t>AVERAGE SYSTEM SIZE</a:t>
          </a:r>
        </a:p>
        <a:p>
          <a:pPr algn="ctr"/>
          <a:endParaRPr lang="en-US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400050</xdr:colOff>
      <xdr:row>3</xdr:row>
      <xdr:rowOff>142875</xdr:rowOff>
    </xdr:from>
    <xdr:to>
      <xdr:col>11</xdr:col>
      <xdr:colOff>981075</xdr:colOff>
      <xdr:row>6</xdr:row>
      <xdr:rowOff>57150</xdr:rowOff>
    </xdr:to>
    <xdr:sp macro="" textlink="$D$23">
      <xdr:nvSpPr>
        <xdr:cNvPr id="13" name="TextBox 12">
          <a:extLst>
            <a:ext uri="{FF2B5EF4-FFF2-40B4-BE49-F238E27FC236}">
              <a16:creationId xmlns:a16="http://schemas.microsoft.com/office/drawing/2014/main" id="{6E1C6296-626C-4832-B097-E38AFBA89E29}"/>
            </a:ext>
          </a:extLst>
        </xdr:cNvPr>
        <xdr:cNvSpPr txBox="1"/>
      </xdr:nvSpPr>
      <xdr:spPr>
        <a:xfrm>
          <a:off x="7734300" y="714375"/>
          <a:ext cx="40957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276505-EDA9-4455-B3F5-5AF9E084255D}" type="TxLink">
            <a:rPr lang="en-US" sz="40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7kVA</a:t>
          </a:fld>
          <a:endParaRPr lang="en-US" sz="4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542925</xdr:colOff>
      <xdr:row>12</xdr:row>
      <xdr:rowOff>133350</xdr:rowOff>
    </xdr:from>
    <xdr:to>
      <xdr:col>8</xdr:col>
      <xdr:colOff>428625</xdr:colOff>
      <xdr:row>18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27049B-9178-9DEB-E780-1E5DAF3E0CA4}"/>
            </a:ext>
          </a:extLst>
        </xdr:cNvPr>
        <xdr:cNvSpPr txBox="1"/>
      </xdr:nvSpPr>
      <xdr:spPr>
        <a:xfrm>
          <a:off x="4867275" y="2419350"/>
          <a:ext cx="28956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1">
              <a:latin typeface="Segoe UI Black" panose="020B0A02040204020203" pitchFamily="34" charset="0"/>
              <a:ea typeface="Segoe UI Black" panose="020B0A02040204020203" pitchFamily="34" charset="0"/>
            </a:rPr>
            <a:t>EXECUTIVE DASHBOARD</a:t>
          </a:r>
        </a:p>
        <a:p>
          <a:pPr algn="ctr"/>
          <a:r>
            <a:rPr lang="en-US" sz="1100" i="1">
              <a:latin typeface="Segoe UI Black" panose="020B0A02040204020203" pitchFamily="34" charset="0"/>
              <a:ea typeface="Segoe UI Black" panose="020B0A02040204020203" pitchFamily="34" charset="0"/>
            </a:rPr>
            <a:t>TOP</a:t>
          </a:r>
          <a:r>
            <a:rPr lang="en-US" sz="1100" i="1" baseline="0">
              <a:latin typeface="Segoe UI Black" panose="020B0A02040204020203" pitchFamily="34" charset="0"/>
              <a:ea typeface="Segoe UI Black" panose="020B0A02040204020203" pitchFamily="34" charset="0"/>
            </a:rPr>
            <a:t>-LEVEL KPI's</a:t>
          </a:r>
          <a:endParaRPr lang="en-US" sz="1100" i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3</xdr:row>
      <xdr:rowOff>0</xdr:rowOff>
    </xdr:from>
    <xdr:to>
      <xdr:col>13</xdr:col>
      <xdr:colOff>152400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AC59A-D0AF-0B1A-0E18-7AFEA23A2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6</xdr:row>
      <xdr:rowOff>119062</xdr:rowOff>
    </xdr:from>
    <xdr:to>
      <xdr:col>5</xdr:col>
      <xdr:colOff>571500</xdr:colOff>
      <xdr:row>11</xdr:row>
      <xdr:rowOff>80962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42FF93-E268-6E4F-4D09-9F63C7CC9169}"/>
            </a:ext>
          </a:extLst>
        </xdr:cNvPr>
        <xdr:cNvSpPr txBox="1"/>
      </xdr:nvSpPr>
      <xdr:spPr>
        <a:xfrm>
          <a:off x="1581150" y="1262062"/>
          <a:ext cx="26479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i="1">
              <a:latin typeface="Segoe UI Black" panose="020B0A02040204020203" pitchFamily="34" charset="0"/>
              <a:ea typeface="Segoe UI Black" panose="020B0A02040204020203" pitchFamily="34" charset="0"/>
            </a:rPr>
            <a:t>Which sales agent/channel brings the most customers?</a:t>
          </a:r>
        </a:p>
      </xdr:txBody>
    </xdr:sp>
    <xdr:clientData/>
  </xdr:twoCellAnchor>
  <xdr:twoCellAnchor>
    <xdr:from>
      <xdr:col>2</xdr:col>
      <xdr:colOff>495300</xdr:colOff>
      <xdr:row>5</xdr:row>
      <xdr:rowOff>171450</xdr:rowOff>
    </xdr:from>
    <xdr:to>
      <xdr:col>3</xdr:col>
      <xdr:colOff>866775</xdr:colOff>
      <xdr:row>7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FFF9AE-627C-41E5-A0CE-97074981740C}"/>
            </a:ext>
          </a:extLst>
        </xdr:cNvPr>
        <xdr:cNvSpPr txBox="1"/>
      </xdr:nvSpPr>
      <xdr:spPr>
        <a:xfrm>
          <a:off x="1714500" y="1123950"/>
          <a:ext cx="9810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0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Insights</a:t>
          </a:r>
          <a:r>
            <a:rPr lang="en-US" sz="1100" i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1</xdr:row>
      <xdr:rowOff>128587</xdr:rowOff>
    </xdr:from>
    <xdr:to>
      <xdr:col>15</xdr:col>
      <xdr:colOff>314324</xdr:colOff>
      <xdr:row>18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215C51-F807-6DE5-7C88-940924EDD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161925</xdr:colOff>
      <xdr:row>18</xdr:row>
      <xdr:rowOff>176212</xdr:rowOff>
    </xdr:from>
    <xdr:to>
      <xdr:col>7</xdr:col>
      <xdr:colOff>247650</xdr:colOff>
      <xdr:row>23</xdr:row>
      <xdr:rowOff>138112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5549B3-65DC-4AFF-9218-2B40E0BBC5FD}"/>
            </a:ext>
          </a:extLst>
        </xdr:cNvPr>
        <xdr:cNvSpPr txBox="1"/>
      </xdr:nvSpPr>
      <xdr:spPr>
        <a:xfrm>
          <a:off x="2295525" y="3605212"/>
          <a:ext cx="26479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i="1">
              <a:latin typeface="Segoe UI Black" panose="020B0A02040204020203" pitchFamily="34" charset="0"/>
              <a:ea typeface="Segoe UI Black" panose="020B0A02040204020203" pitchFamily="34" charset="0"/>
            </a:rPr>
            <a:t>What size solar systems are most popular?</a:t>
          </a:r>
        </a:p>
      </xdr:txBody>
    </xdr:sp>
    <xdr:clientData/>
  </xdr:twoCellAnchor>
  <xdr:twoCellAnchor>
    <xdr:from>
      <xdr:col>3</xdr:col>
      <xdr:colOff>295275</xdr:colOff>
      <xdr:row>18</xdr:row>
      <xdr:rowOff>38100</xdr:rowOff>
    </xdr:from>
    <xdr:to>
      <xdr:col>5</xdr:col>
      <xdr:colOff>409575</xdr:colOff>
      <xdr:row>19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046858-5605-4734-92E4-307F268F8FE0}"/>
            </a:ext>
          </a:extLst>
        </xdr:cNvPr>
        <xdr:cNvSpPr txBox="1"/>
      </xdr:nvSpPr>
      <xdr:spPr>
        <a:xfrm>
          <a:off x="2428875" y="3467100"/>
          <a:ext cx="14573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i="0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Business</a:t>
          </a:r>
          <a:r>
            <a:rPr lang="en-US" sz="1050" i="0" baseline="0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 q</a:t>
          </a:r>
          <a:r>
            <a:rPr lang="en-US" sz="1050" i="0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uestion</a:t>
          </a:r>
          <a:r>
            <a:rPr lang="en-US" sz="1050" i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: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457199</xdr:colOff>
      <xdr:row>2</xdr:row>
      <xdr:rowOff>14287</xdr:rowOff>
    </xdr:from>
    <xdr:to>
      <xdr:col>15</xdr:col>
      <xdr:colOff>114300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E2E83-DB26-C468-D50D-59CD8269A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18</xdr:row>
      <xdr:rowOff>138112</xdr:rowOff>
    </xdr:from>
    <xdr:to>
      <xdr:col>5</xdr:col>
      <xdr:colOff>85725</xdr:colOff>
      <xdr:row>23</xdr:row>
      <xdr:rowOff>100012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45C0AA-2B2A-427F-B2B1-BD5E80013213}"/>
            </a:ext>
          </a:extLst>
        </xdr:cNvPr>
        <xdr:cNvSpPr txBox="1"/>
      </xdr:nvSpPr>
      <xdr:spPr>
        <a:xfrm>
          <a:off x="1362075" y="3567112"/>
          <a:ext cx="26479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i="1">
              <a:latin typeface="Segoe UI Black" panose="020B0A02040204020203" pitchFamily="34" charset="0"/>
              <a:ea typeface="Segoe UI Black" panose="020B0A02040204020203" pitchFamily="34" charset="0"/>
            </a:rPr>
            <a:t>Are installations increasing or declining?</a:t>
          </a:r>
        </a:p>
      </xdr:txBody>
    </xdr:sp>
    <xdr:clientData/>
  </xdr:twoCellAnchor>
  <xdr:twoCellAnchor>
    <xdr:from>
      <xdr:col>2</xdr:col>
      <xdr:colOff>133350</xdr:colOff>
      <xdr:row>18</xdr:row>
      <xdr:rowOff>0</xdr:rowOff>
    </xdr:from>
    <xdr:to>
      <xdr:col>2</xdr:col>
      <xdr:colOff>1114425</xdr:colOff>
      <xdr:row>19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A48A9B-FCC6-4276-AD24-4CEA9D35C533}"/>
            </a:ext>
          </a:extLst>
        </xdr:cNvPr>
        <xdr:cNvSpPr txBox="1"/>
      </xdr:nvSpPr>
      <xdr:spPr>
        <a:xfrm>
          <a:off x="1495425" y="3429000"/>
          <a:ext cx="9810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0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Insights</a:t>
          </a:r>
          <a:r>
            <a:rPr lang="en-US" sz="1100" i="1"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: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s Onuoha" refreshedDate="46199.440724537038" createdVersion="8" refreshedVersion="8" minRefreshableVersion="3" recordCount="201" xr:uid="{13B34508-30BF-46F8-A59B-E3D1002F2D16}">
  <cacheSource type="worksheet">
    <worksheetSource name="Dashboard"/>
  </cacheSource>
  <cacheFields count="15">
    <cacheField name="Serial Number (unique identifier)" numFmtId="0">
      <sharedItems containsBlank="1"/>
    </cacheField>
    <cacheField name="Full Name" numFmtId="0">
      <sharedItems containsBlank="1"/>
    </cacheField>
    <cacheField name="Phone" numFmtId="0">
      <sharedItems containsString="0" containsBlank="1" containsNumber="1" containsInteger="1" minValue="90000101" maxValue="90000300"/>
    </cacheField>
    <cacheField name="Email" numFmtId="0">
      <sharedItems containsBlank="1"/>
    </cacheField>
    <cacheField name="Installation Address" numFmtId="0">
      <sharedItems containsBlank="1"/>
    </cacheField>
    <cacheField name="Lead Source" numFmtId="0">
      <sharedItems containsBlank="1"/>
    </cacheField>
    <cacheField name="System Size" numFmtId="165">
      <sharedItems containsString="0" containsBlank="1" containsNumber="1" containsInteger="1" minValue="1" maxValue="15"/>
    </cacheField>
    <cacheField name="Panel Model &amp; Quantity" numFmtId="0">
      <sharedItems containsBlank="1"/>
    </cacheField>
    <cacheField name="Battery Storage" numFmtId="0">
      <sharedItems containsBlank="1"/>
    </cacheField>
    <cacheField name="Installation Date (M/D/Y)" numFmtId="14">
      <sharedItems containsNonDate="0" containsDate="1" containsString="0" containsBlank="1" minDate="2024-04-01T00:00:00" maxDate="2024-10-18T00:00:00"/>
    </cacheField>
    <cacheField name="Installation Month" numFmtId="14">
      <sharedItems containsBlank="1" count="8">
        <s v="Apr"/>
        <s v="May"/>
        <s v="Jun"/>
        <s v="Jul"/>
        <s v="Aug"/>
        <s v="Sep"/>
        <s v="Oct"/>
        <m/>
      </sharedItems>
    </cacheField>
    <cacheField name="Total Contract Value" numFmtId="164">
      <sharedItems containsString="0" containsBlank="1" containsNumber="1" containsInteger="1" minValue="5300000" maxValue="124550000"/>
    </cacheField>
    <cacheField name="Mode of Payment" numFmtId="0">
      <sharedItems containsBlank="1"/>
    </cacheField>
    <cacheField name="Warranty Expiration" numFmtId="0">
      <sharedItems containsBlank="1"/>
    </cacheField>
    <cacheField name="Most recent Maintenance D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SN-0000001"/>
    <s v="John"/>
    <n v="90000101"/>
    <s v="example1@email.com"/>
    <s v="Address 000001"/>
    <s v="Amos"/>
    <n v="15"/>
    <s v="3X Monocrystalline N-Type"/>
    <s v="1x 220Ah X 12V - Tubular"/>
    <d v="2024-04-01T00:00:00"/>
    <x v="0"/>
    <n v="5300000"/>
    <s v="Mobile Bank Transfer"/>
    <s v="N/A"/>
    <m/>
  </r>
  <r>
    <s v="SN-0000002"/>
    <s v="Jane"/>
    <n v="90000102"/>
    <s v="example2@email.com"/>
    <s v="Address 000002"/>
    <s v="Angela"/>
    <n v="5"/>
    <s v="4X  Monocrystalline N-Type"/>
    <s v="1x 220Ah X 12V - Tubular"/>
    <d v="2024-04-02T00:00:00"/>
    <x v="0"/>
    <n v="5600000"/>
    <s v="Mobile Bank Transfer"/>
    <s v="N/A"/>
    <m/>
  </r>
  <r>
    <s v="SN-0000003"/>
    <s v="John"/>
    <n v="90000103"/>
    <s v="example3@email.com"/>
    <s v="Address 000003"/>
    <s v="Amos"/>
    <n v="1"/>
    <s v="3X Monocrystalline N-Type"/>
    <s v="1x 220Ah X 12V - Tubular"/>
    <d v="2024-04-03T00:00:00"/>
    <x v="0"/>
    <n v="6200000"/>
    <s v="Mobile Bank Transfer"/>
    <s v="N/A"/>
    <m/>
  </r>
  <r>
    <s v="SN-0000004"/>
    <s v="Jane"/>
    <n v="90000104"/>
    <s v="example4@email.com"/>
    <s v="Address 000004"/>
    <s v="Angela"/>
    <n v="1"/>
    <s v="4X  Monocrystalline N-Type"/>
    <s v="1x 220Ah X 12V - Tubular"/>
    <d v="2024-04-04T00:00:00"/>
    <x v="0"/>
    <n v="7100000"/>
    <s v="Mobile Bank Transfer"/>
    <s v="N/A"/>
    <m/>
  </r>
  <r>
    <s v="SN-0000005"/>
    <s v="John"/>
    <n v="90000105"/>
    <s v="example5@email.com"/>
    <s v="Address 000005"/>
    <s v="Amos"/>
    <n v="1"/>
    <s v="3X Monocrystalline N-Type"/>
    <s v="1x 220Ah X 12V - Tubular"/>
    <d v="2024-04-05T00:00:00"/>
    <x v="0"/>
    <n v="7550000"/>
    <s v="Mobile Bank Transfer"/>
    <s v="N/A"/>
    <m/>
  </r>
  <r>
    <s v="SN-0000006"/>
    <s v="Jane"/>
    <n v="90000106"/>
    <s v="example6@email.com"/>
    <s v="Address 000006"/>
    <s v="Angela"/>
    <n v="5"/>
    <s v="4X  Monocrystalline N-Type"/>
    <s v="1x 220Ah X 12V - Tubular"/>
    <d v="2024-04-06T00:00:00"/>
    <x v="0"/>
    <n v="8150000"/>
    <s v="Mobile Bank Transfer"/>
    <s v="N/A"/>
    <m/>
  </r>
  <r>
    <s v="SN-0000007"/>
    <s v="John"/>
    <n v="90000107"/>
    <s v="example7@email.com"/>
    <s v="Address 000007"/>
    <s v="Amos"/>
    <n v="15"/>
    <s v="3X Monocrystalline N-Type"/>
    <s v="1x 220Ah X 12V - Tubular"/>
    <d v="2024-04-07T00:00:00"/>
    <x v="0"/>
    <n v="8750000"/>
    <s v="Mobile Bank Transfer"/>
    <s v="N/A"/>
    <m/>
  </r>
  <r>
    <s v="SN-0000008"/>
    <s v="Jane"/>
    <n v="90000108"/>
    <s v="example8@email.com"/>
    <s v="Address 000008"/>
    <s v="Angela"/>
    <n v="2"/>
    <s v="4X  Monocrystalline N-Type"/>
    <s v="1x 220Ah X 12V - Tubular"/>
    <d v="2024-04-08T00:00:00"/>
    <x v="0"/>
    <n v="9350000"/>
    <s v="Mobile Bank Transfer"/>
    <s v="N/A"/>
    <m/>
  </r>
  <r>
    <s v="SN-0000009"/>
    <s v="John"/>
    <n v="90000109"/>
    <s v="example9@email.com"/>
    <s v="Address 000009"/>
    <s v="Amos"/>
    <n v="1"/>
    <s v="3X Monocrystalline N-Type"/>
    <s v="1x 220Ah X 12V - Tubular"/>
    <d v="2024-04-09T00:00:00"/>
    <x v="0"/>
    <n v="9950000"/>
    <s v="Mobile Bank Transfer"/>
    <s v="N/A"/>
    <m/>
  </r>
  <r>
    <s v="SN-0000010"/>
    <s v="Jane"/>
    <n v="90000110"/>
    <s v="example10@email.com"/>
    <s v="Address 000010"/>
    <s v="Angela"/>
    <n v="5"/>
    <s v="4X  Monocrystalline N-Type"/>
    <s v="1x 220Ah X 12V - Tubular"/>
    <d v="2024-04-10T00:00:00"/>
    <x v="0"/>
    <n v="10550000"/>
    <s v="Mobile Bank Transfer"/>
    <s v="N/A"/>
    <m/>
  </r>
  <r>
    <s v="SN-0000011"/>
    <s v="John"/>
    <n v="90000111"/>
    <s v="example11@email.com"/>
    <s v="Address 000011"/>
    <s v="Amos"/>
    <n v="10"/>
    <s v="3X Monocrystalline N-Type"/>
    <s v="1x 220Ah X 12V - Tubular"/>
    <d v="2024-04-11T00:00:00"/>
    <x v="0"/>
    <n v="11150000"/>
    <s v="Mobile Bank Transfer"/>
    <s v="N/A"/>
    <m/>
  </r>
  <r>
    <s v="SN-0000012"/>
    <s v="Jane"/>
    <n v="90000112"/>
    <s v="example12@email.com"/>
    <s v="Address 000012"/>
    <s v="Angela"/>
    <n v="1"/>
    <s v="4X  Monocrystalline N-Type"/>
    <s v="1x 220Ah X 12V - Tubular"/>
    <d v="2024-04-12T00:00:00"/>
    <x v="0"/>
    <n v="11750000"/>
    <s v="Mobile Bank Transfer"/>
    <s v="N/A"/>
    <m/>
  </r>
  <r>
    <s v="SN-0000013"/>
    <s v="John"/>
    <n v="90000113"/>
    <s v="example13@email.com"/>
    <s v="Address 000013"/>
    <s v="Amos"/>
    <n v="15"/>
    <s v="3X Monocrystalline N-Type"/>
    <s v="1x 220Ah X 12V - Tubular"/>
    <d v="2024-04-13T00:00:00"/>
    <x v="0"/>
    <n v="12350000"/>
    <s v="Mobile Bank Transfer"/>
    <s v="N/A"/>
    <m/>
  </r>
  <r>
    <s v="SN-0000014"/>
    <s v="Jane"/>
    <n v="90000114"/>
    <s v="example14@email.com"/>
    <s v="Address 000014"/>
    <s v="Angela"/>
    <n v="5"/>
    <s v="4X  Monocrystalline N-Type"/>
    <s v="1x 220Ah X 12V - Tubular"/>
    <d v="2024-04-14T00:00:00"/>
    <x v="0"/>
    <n v="12950000"/>
    <s v="Mobile Bank Transfer"/>
    <s v="N/A"/>
    <m/>
  </r>
  <r>
    <s v="SN-0000015"/>
    <s v="John"/>
    <n v="90000115"/>
    <s v="example15@email.com"/>
    <s v="Address 000015"/>
    <s v="Amos"/>
    <n v="5"/>
    <s v="3X Monocrystalline N-Type"/>
    <s v="1x 220Ah X 12V - Tubular"/>
    <d v="2024-04-15T00:00:00"/>
    <x v="0"/>
    <n v="13550000"/>
    <s v="Mobile Bank Transfer"/>
    <s v="N/A"/>
    <m/>
  </r>
  <r>
    <s v="SN-0000016"/>
    <s v="Jane"/>
    <n v="90000116"/>
    <s v="example16@email.com"/>
    <s v="Address 000016"/>
    <s v="Angela"/>
    <n v="15"/>
    <s v="4X  Monocrystalline N-Type"/>
    <s v="1x 220Ah X 12V - Tubular"/>
    <d v="2024-04-16T00:00:00"/>
    <x v="0"/>
    <n v="14150000"/>
    <s v="Mobile Bank Transfer"/>
    <s v="N/A"/>
    <m/>
  </r>
  <r>
    <s v="SN-0000017"/>
    <s v="John"/>
    <n v="90000117"/>
    <s v="example17@email.com"/>
    <s v="Address 000017"/>
    <s v="Amos"/>
    <n v="15"/>
    <s v="3X Monocrystalline N-Type"/>
    <s v="1x 220Ah X 12V - Tubular"/>
    <d v="2024-04-17T00:00:00"/>
    <x v="0"/>
    <n v="14750000"/>
    <s v="Mobile Bank Transfer"/>
    <s v="N/A"/>
    <m/>
  </r>
  <r>
    <s v="SN-0000018"/>
    <s v="Jane"/>
    <n v="90000118"/>
    <s v="example18@email.com"/>
    <s v="Address 000018"/>
    <s v="Angela"/>
    <n v="2"/>
    <s v="4X  Monocrystalline N-Type"/>
    <s v="1x 220Ah X 12V - Tubular"/>
    <d v="2024-04-18T00:00:00"/>
    <x v="0"/>
    <n v="15350000"/>
    <s v="Mobile Bank Transfer"/>
    <s v="N/A"/>
    <m/>
  </r>
  <r>
    <s v="SN-0000019"/>
    <s v="John"/>
    <n v="90000119"/>
    <s v="example19@email.com"/>
    <s v="Address 000019"/>
    <s v="Amos"/>
    <n v="2"/>
    <s v="3X Monocrystalline N-Type"/>
    <s v="1x 220Ah X 12V - Tubular"/>
    <d v="2024-04-19T00:00:00"/>
    <x v="0"/>
    <n v="15950000"/>
    <s v="Mobile Bank Transfer"/>
    <s v="N/A"/>
    <m/>
  </r>
  <r>
    <s v="SN-0000020"/>
    <s v="Jane"/>
    <n v="90000120"/>
    <s v="example20@email.com"/>
    <s v="Address 000020"/>
    <s v="Angela"/>
    <n v="10"/>
    <s v="4X  Monocrystalline N-Type"/>
    <s v="1x 220Ah X 12V - Tubular"/>
    <d v="2024-04-20T00:00:00"/>
    <x v="0"/>
    <n v="16550000"/>
    <s v="Mobile Bank Transfer"/>
    <s v="N/A"/>
    <m/>
  </r>
  <r>
    <s v="SN-0000021"/>
    <s v="John"/>
    <n v="90000121"/>
    <s v="example21@email.com"/>
    <s v="Address 000021"/>
    <s v="Amos"/>
    <n v="1"/>
    <s v="3X Monocrystalline N-Type"/>
    <s v="1x 220Ah X 12V - Tubular"/>
    <d v="2024-04-21T00:00:00"/>
    <x v="0"/>
    <n v="17150000"/>
    <s v="Mobile Bank Transfer"/>
    <s v="N/A"/>
    <m/>
  </r>
  <r>
    <s v="SN-0000022"/>
    <s v="Jane"/>
    <n v="90000122"/>
    <s v="example22@email.com"/>
    <s v="Address 000022"/>
    <s v="Angela"/>
    <n v="5"/>
    <s v="4X  Monocrystalline N-Type"/>
    <s v="1x 220Ah X 12V - Tubular"/>
    <d v="2024-04-22T00:00:00"/>
    <x v="0"/>
    <n v="17750000"/>
    <s v="Mobile Bank Transfer"/>
    <s v="N/A"/>
    <m/>
  </r>
  <r>
    <s v="SN-0000023"/>
    <s v="John"/>
    <n v="90000123"/>
    <s v="example23@email.com"/>
    <s v="Address 000023"/>
    <s v="Amos"/>
    <n v="10"/>
    <s v="3X Monocrystalline N-Type"/>
    <s v="1x 220Ah X 12V - Tubular"/>
    <d v="2024-04-23T00:00:00"/>
    <x v="0"/>
    <n v="18350000"/>
    <s v="Mobile Bank Transfer"/>
    <s v="N/A"/>
    <m/>
  </r>
  <r>
    <s v="SN-0000024"/>
    <s v="Jane"/>
    <n v="90000124"/>
    <s v="example24@email.com"/>
    <s v="Address 000024"/>
    <s v="Angela"/>
    <n v="10"/>
    <s v="4X  Monocrystalline N-Type"/>
    <s v="1x 220Ah X 12V - Tubular"/>
    <d v="2024-04-24T00:00:00"/>
    <x v="0"/>
    <n v="18950000"/>
    <s v="Mobile Bank Transfer"/>
    <s v="N/A"/>
    <m/>
  </r>
  <r>
    <s v="SN-0000025"/>
    <s v="John"/>
    <n v="90000125"/>
    <s v="example25@email.com"/>
    <s v="Address 000025"/>
    <s v="Amos"/>
    <n v="1"/>
    <s v="3X Monocrystalline N-Type"/>
    <s v="1x 220Ah X 12V - Tubular"/>
    <d v="2024-04-25T00:00:00"/>
    <x v="0"/>
    <n v="19550000"/>
    <s v="Mobile Bank Transfer"/>
    <s v="N/A"/>
    <m/>
  </r>
  <r>
    <s v="SN-0000026"/>
    <s v="Jane"/>
    <n v="90000126"/>
    <s v="example26@email.com"/>
    <s v="Address 000026"/>
    <s v="Angela"/>
    <n v="15"/>
    <s v="4X  Monocrystalline N-Type"/>
    <s v="1x 220Ah X 12V - Tubular"/>
    <d v="2024-04-26T00:00:00"/>
    <x v="0"/>
    <n v="20150000"/>
    <s v="Mobile Bank Transfer"/>
    <s v="N/A"/>
    <m/>
  </r>
  <r>
    <s v="SN-0000027"/>
    <s v="John"/>
    <n v="90000127"/>
    <s v="example27@email.com"/>
    <s v="Address 000027"/>
    <s v="Amos"/>
    <n v="10"/>
    <s v="3X Monocrystalline N-Type"/>
    <s v="1x 220Ah X 12V - Tubular"/>
    <d v="2024-04-27T00:00:00"/>
    <x v="0"/>
    <n v="20750000"/>
    <s v="Mobile Bank Transfer"/>
    <s v="N/A"/>
    <m/>
  </r>
  <r>
    <s v="SN-0000028"/>
    <s v="Jane"/>
    <n v="90000128"/>
    <s v="example28@email.com"/>
    <s v="Address 000028"/>
    <s v="Angela"/>
    <n v="2"/>
    <s v="4X  Monocrystalline N-Type"/>
    <s v="1x 220Ah X 12V - Tubular"/>
    <d v="2024-04-28T00:00:00"/>
    <x v="0"/>
    <n v="21350000"/>
    <s v="Mobile Bank Transfer"/>
    <s v="N/A"/>
    <m/>
  </r>
  <r>
    <s v="SN-0000029"/>
    <s v="John"/>
    <n v="90000129"/>
    <s v="example29@email.com"/>
    <s v="Address 000029"/>
    <s v="Amos"/>
    <n v="2"/>
    <s v="3X Monocrystalline N-Type"/>
    <s v="1x 220Ah X 12V - Tubular"/>
    <d v="2024-04-29T00:00:00"/>
    <x v="0"/>
    <n v="21950000"/>
    <s v="Mobile Bank Transfer"/>
    <s v="N/A"/>
    <m/>
  </r>
  <r>
    <s v="SN-0000030"/>
    <s v="Jane"/>
    <n v="90000130"/>
    <s v="example30@email.com"/>
    <s v="Address 000030"/>
    <s v="Angela"/>
    <n v="10"/>
    <s v="4X  Monocrystalline N-Type"/>
    <s v="1x 220Ah X 12V - Tubular"/>
    <d v="2024-04-30T00:00:00"/>
    <x v="0"/>
    <n v="22550000"/>
    <s v="Mobile Bank Transfer"/>
    <s v="N/A"/>
    <m/>
  </r>
  <r>
    <s v="SN-0000031"/>
    <s v="John"/>
    <n v="90000131"/>
    <s v="example31@email.com"/>
    <s v="Address 000031"/>
    <s v="Amos"/>
    <n v="15"/>
    <s v="3X Monocrystalline N-Type"/>
    <s v="1x 220Ah X 12V - Tubular"/>
    <d v="2024-05-01T00:00:00"/>
    <x v="1"/>
    <n v="23150000"/>
    <s v="Mobile Bank Transfer"/>
    <s v="N/A"/>
    <m/>
  </r>
  <r>
    <s v="SN-0000032"/>
    <s v="Jane"/>
    <n v="90000132"/>
    <s v="example32@email.com"/>
    <s v="Address 000032"/>
    <s v="Angela"/>
    <n v="1"/>
    <s v="4X  Monocrystalline N-Type"/>
    <s v="1x 220Ah X 12V - Tubular"/>
    <d v="2024-05-02T00:00:00"/>
    <x v="1"/>
    <n v="23750000"/>
    <s v="Mobile Bank Transfer"/>
    <s v="N/A"/>
    <m/>
  </r>
  <r>
    <s v="SN-0000033"/>
    <s v="John"/>
    <n v="90000133"/>
    <s v="example33@email.com"/>
    <s v="Address 000033"/>
    <s v="Amos"/>
    <n v="5"/>
    <s v="3X Monocrystalline N-Type"/>
    <s v="1x 220Ah X 12V - Tubular"/>
    <d v="2024-05-03T00:00:00"/>
    <x v="1"/>
    <n v="24350000"/>
    <s v="Mobile Bank Transfer"/>
    <s v="N/A"/>
    <m/>
  </r>
  <r>
    <s v="SN-0000034"/>
    <s v="Jane"/>
    <n v="90000134"/>
    <s v="example34@email.com"/>
    <s v="Address 000034"/>
    <s v="Angela"/>
    <n v="2"/>
    <s v="4X  Monocrystalline N-Type"/>
    <s v="1x 220Ah X 12V - Tubular"/>
    <d v="2024-05-04T00:00:00"/>
    <x v="1"/>
    <n v="24950000"/>
    <s v="Mobile Bank Transfer"/>
    <s v="N/A"/>
    <m/>
  </r>
  <r>
    <s v="SN-0000035"/>
    <s v="John"/>
    <n v="90000135"/>
    <s v="example35@email.com"/>
    <s v="Address 000035"/>
    <s v="Amos"/>
    <n v="1"/>
    <s v="3X Monocrystalline N-Type"/>
    <s v="1x 220Ah X 12V - Tubular"/>
    <d v="2024-05-05T00:00:00"/>
    <x v="1"/>
    <n v="25550000"/>
    <s v="Mobile Bank Transfer"/>
    <s v="N/A"/>
    <m/>
  </r>
  <r>
    <s v="SN-0000036"/>
    <s v="Jane"/>
    <n v="90000136"/>
    <s v="example36@email.com"/>
    <s v="Address 000036"/>
    <s v="Angela"/>
    <n v="15"/>
    <s v="4X  Monocrystalline N-Type"/>
    <s v="1x 220Ah X 12V - Tubular"/>
    <d v="2024-05-06T00:00:00"/>
    <x v="1"/>
    <n v="26150000"/>
    <s v="Mobile Bank Transfer"/>
    <s v="N/A"/>
    <m/>
  </r>
  <r>
    <s v="SN-0000037"/>
    <s v="John"/>
    <n v="90000137"/>
    <s v="example37@email.com"/>
    <s v="Address 000037"/>
    <s v="Amos"/>
    <n v="10"/>
    <s v="3X Monocrystalline N-Type"/>
    <s v="1x 220Ah X 12V - Tubular"/>
    <d v="2024-05-07T00:00:00"/>
    <x v="1"/>
    <n v="26750000"/>
    <s v="Mobile Bank Transfer"/>
    <s v="N/A"/>
    <m/>
  </r>
  <r>
    <s v="SN-0000038"/>
    <s v="Jane"/>
    <n v="90000138"/>
    <s v="example38@email.com"/>
    <s v="Address 000038"/>
    <s v="Angela"/>
    <n v="2"/>
    <s v="4X  Monocrystalline N-Type"/>
    <s v="1x 220Ah X 12V - Tubular"/>
    <d v="2024-05-08T00:00:00"/>
    <x v="1"/>
    <n v="27350000"/>
    <s v="Mobile Bank Transfer"/>
    <s v="N/A"/>
    <m/>
  </r>
  <r>
    <s v="SN-0000039"/>
    <s v="John"/>
    <n v="90000139"/>
    <s v="example39@email.com"/>
    <s v="Address 000039"/>
    <s v="Amos"/>
    <n v="10"/>
    <s v="3X Monocrystalline N-Type"/>
    <s v="1x 220Ah X 12V - Tubular"/>
    <d v="2024-05-09T00:00:00"/>
    <x v="1"/>
    <n v="27950000"/>
    <s v="Mobile Bank Transfer"/>
    <s v="N/A"/>
    <m/>
  </r>
  <r>
    <s v="SN-0000040"/>
    <s v="Jane"/>
    <n v="90000140"/>
    <s v="example40@email.com"/>
    <s v="Address 000040"/>
    <s v="Angela"/>
    <n v="15"/>
    <s v="4X  Monocrystalline N-Type"/>
    <s v="1x 220Ah X 12V - Tubular"/>
    <d v="2024-05-10T00:00:00"/>
    <x v="1"/>
    <n v="28550000"/>
    <s v="Mobile Bank Transfer"/>
    <s v="N/A"/>
    <m/>
  </r>
  <r>
    <s v="SN-0000041"/>
    <s v="John"/>
    <n v="90000141"/>
    <s v="example41@email.com"/>
    <s v="Address 000041"/>
    <s v="Amos"/>
    <n v="15"/>
    <s v="3X Monocrystalline N-Type"/>
    <s v="1x 220Ah X 12V - Tubular"/>
    <d v="2024-05-11T00:00:00"/>
    <x v="1"/>
    <n v="29150000"/>
    <s v="Mobile Bank Transfer"/>
    <s v="N/A"/>
    <m/>
  </r>
  <r>
    <s v="SN-0000042"/>
    <s v="Jane"/>
    <n v="90000142"/>
    <s v="example42@email.com"/>
    <s v="Address 000042"/>
    <s v="Angela"/>
    <n v="15"/>
    <s v="4X  Monocrystalline N-Type"/>
    <s v="1x 220Ah X 12V - Tubular"/>
    <d v="2024-05-12T00:00:00"/>
    <x v="1"/>
    <n v="29750000"/>
    <s v="Mobile Bank Transfer"/>
    <s v="N/A"/>
    <m/>
  </r>
  <r>
    <s v="SN-0000043"/>
    <s v="John"/>
    <n v="90000143"/>
    <s v="example43@email.com"/>
    <s v="Address 000043"/>
    <s v="Amos"/>
    <n v="15"/>
    <s v="3X Monocrystalline N-Type"/>
    <s v="1x 220Ah X 12V - Tubular"/>
    <d v="2024-05-13T00:00:00"/>
    <x v="1"/>
    <n v="30350000"/>
    <s v="Mobile Bank Transfer"/>
    <s v="N/A"/>
    <m/>
  </r>
  <r>
    <s v="SN-0000044"/>
    <s v="Jane"/>
    <n v="90000144"/>
    <s v="example44@email.com"/>
    <s v="Address 000044"/>
    <s v="Angela"/>
    <n v="2"/>
    <s v="4X  Monocrystalline N-Type"/>
    <s v="1x 220Ah X 12V - Tubular"/>
    <d v="2024-05-14T00:00:00"/>
    <x v="1"/>
    <n v="30950000"/>
    <s v="Mobile Bank Transfer"/>
    <s v="N/A"/>
    <m/>
  </r>
  <r>
    <s v="SN-0000045"/>
    <s v="John"/>
    <n v="90000145"/>
    <s v="example45@email.com"/>
    <s v="Address 000045"/>
    <s v="Amos"/>
    <n v="5"/>
    <s v="3X Monocrystalline N-Type"/>
    <s v="1x 220Ah X 12V - Tubular"/>
    <d v="2024-05-15T00:00:00"/>
    <x v="1"/>
    <n v="31550000"/>
    <s v="Mobile Bank Transfer"/>
    <s v="N/A"/>
    <m/>
  </r>
  <r>
    <s v="SN-0000046"/>
    <s v="Jane"/>
    <n v="90000146"/>
    <s v="example46@email.com"/>
    <s v="Address 000046"/>
    <s v="Angela"/>
    <n v="15"/>
    <s v="4X  Monocrystalline N-Type"/>
    <s v="1x 220Ah X 12V - Tubular"/>
    <d v="2024-05-16T00:00:00"/>
    <x v="1"/>
    <n v="32150000"/>
    <s v="Mobile Bank Transfer"/>
    <s v="N/A"/>
    <m/>
  </r>
  <r>
    <s v="SN-0000047"/>
    <s v="John"/>
    <n v="90000147"/>
    <s v="example47@email.com"/>
    <s v="Address 000047"/>
    <s v="Amos"/>
    <n v="15"/>
    <s v="3X Monocrystalline N-Type"/>
    <s v="1x 220Ah X 12V - Tubular"/>
    <d v="2024-05-17T00:00:00"/>
    <x v="1"/>
    <n v="32750000"/>
    <s v="Mobile Bank Transfer"/>
    <s v="N/A"/>
    <m/>
  </r>
  <r>
    <s v="SN-0000048"/>
    <s v="Jane"/>
    <n v="90000148"/>
    <s v="example48@email.com"/>
    <s v="Address 000048"/>
    <s v="Angela"/>
    <n v="1"/>
    <s v="4X  Monocrystalline N-Type"/>
    <s v="1x 220Ah X 12V - Tubular"/>
    <d v="2024-05-18T00:00:00"/>
    <x v="1"/>
    <n v="33350000"/>
    <s v="Mobile Bank Transfer"/>
    <s v="N/A"/>
    <m/>
  </r>
  <r>
    <s v="SN-0000049"/>
    <s v="John"/>
    <n v="90000149"/>
    <s v="example49@email.com"/>
    <s v="Address 000049"/>
    <s v="Amos"/>
    <n v="5"/>
    <s v="3X Monocrystalline N-Type"/>
    <s v="1x 220Ah X 12V - Tubular"/>
    <d v="2024-05-19T00:00:00"/>
    <x v="1"/>
    <n v="33950000"/>
    <s v="Mobile Bank Transfer"/>
    <s v="N/A"/>
    <m/>
  </r>
  <r>
    <s v="SN-0000050"/>
    <s v="Jane"/>
    <n v="90000150"/>
    <s v="example50@email.com"/>
    <s v="Address 000050"/>
    <s v="Angela"/>
    <n v="15"/>
    <s v="4X  Monocrystalline N-Type"/>
    <s v="1x 220Ah X 12V - Tubular"/>
    <d v="2024-05-20T00:00:00"/>
    <x v="1"/>
    <n v="34550000"/>
    <s v="Mobile Bank Transfer"/>
    <s v="N/A"/>
    <m/>
  </r>
  <r>
    <s v="SN-0000051"/>
    <s v="John"/>
    <n v="90000151"/>
    <s v="example51@email.com"/>
    <s v="Address 000051"/>
    <s v="Amos"/>
    <n v="1"/>
    <s v="3X Monocrystalline N-Type"/>
    <s v="1x 220Ah X 12V - Tubular"/>
    <d v="2024-05-21T00:00:00"/>
    <x v="1"/>
    <n v="35150000"/>
    <s v="Mobile Bank Transfer"/>
    <s v="N/A"/>
    <m/>
  </r>
  <r>
    <s v="SN-0000052"/>
    <s v="Jane"/>
    <n v="90000152"/>
    <s v="example52@email.com"/>
    <s v="Address 000052"/>
    <s v="Angela"/>
    <n v="2"/>
    <s v="4X  Monocrystalline N-Type"/>
    <s v="1x 220Ah X 12V - Tubular"/>
    <d v="2024-05-22T00:00:00"/>
    <x v="1"/>
    <n v="35750000"/>
    <s v="Mobile Bank Transfer"/>
    <s v="N/A"/>
    <m/>
  </r>
  <r>
    <s v="SN-0000053"/>
    <s v="John"/>
    <n v="90000153"/>
    <s v="example53@email.com"/>
    <s v="Address 000053"/>
    <s v="Amos"/>
    <n v="10"/>
    <s v="3X Monocrystalline N-Type"/>
    <s v="1x 220Ah X 12V - Tubular"/>
    <d v="2024-05-23T00:00:00"/>
    <x v="1"/>
    <n v="36350000"/>
    <s v="Mobile Bank Transfer"/>
    <s v="N/A"/>
    <m/>
  </r>
  <r>
    <s v="SN-0000054"/>
    <s v="Jane"/>
    <n v="90000154"/>
    <s v="example54@email.com"/>
    <s v="Address 000054"/>
    <s v="Angela"/>
    <n v="2"/>
    <s v="4X  Monocrystalline N-Type"/>
    <s v="1x 220Ah X 12V - Tubular"/>
    <d v="2024-05-24T00:00:00"/>
    <x v="1"/>
    <n v="36950000"/>
    <s v="Mobile Bank Transfer"/>
    <s v="N/A"/>
    <m/>
  </r>
  <r>
    <s v="SN-0000055"/>
    <s v="John"/>
    <n v="90000155"/>
    <s v="example55@email.com"/>
    <s v="Address 000055"/>
    <s v="Amos"/>
    <n v="2"/>
    <s v="3X Monocrystalline N-Type"/>
    <s v="1x 220Ah X 12V - Tubular"/>
    <d v="2024-05-25T00:00:00"/>
    <x v="1"/>
    <n v="37550000"/>
    <s v="Mobile Bank Transfer"/>
    <s v="N/A"/>
    <m/>
  </r>
  <r>
    <s v="SN-0000056"/>
    <s v="Jane"/>
    <n v="90000156"/>
    <s v="example56@email.com"/>
    <s v="Address 000056"/>
    <s v="Angela"/>
    <n v="15"/>
    <s v="4X  Monocrystalline N-Type"/>
    <s v="1x 220Ah X 12V - Tubular"/>
    <d v="2024-05-26T00:00:00"/>
    <x v="1"/>
    <n v="38150000"/>
    <s v="Mobile Bank Transfer"/>
    <s v="N/A"/>
    <m/>
  </r>
  <r>
    <s v="SN-0000057"/>
    <s v="John"/>
    <n v="90000157"/>
    <s v="example57@email.com"/>
    <s v="Address 000057"/>
    <s v="Amos"/>
    <n v="1"/>
    <s v="3X Monocrystalline N-Type"/>
    <s v="1x 220Ah X 12V - Tubular"/>
    <d v="2024-05-27T00:00:00"/>
    <x v="1"/>
    <n v="38750000"/>
    <s v="Mobile Bank Transfer"/>
    <s v="N/A"/>
    <m/>
  </r>
  <r>
    <s v="SN-0000058"/>
    <s v="Jane"/>
    <n v="90000158"/>
    <s v="example58@email.com"/>
    <s v="Address 000058"/>
    <s v="Angela"/>
    <n v="15"/>
    <s v="4X  Monocrystalline N-Type"/>
    <s v="1x 220Ah X 12V - Tubular"/>
    <d v="2024-05-28T00:00:00"/>
    <x v="1"/>
    <n v="39350000"/>
    <s v="Mobile Bank Transfer"/>
    <s v="N/A"/>
    <m/>
  </r>
  <r>
    <s v="SN-0000059"/>
    <s v="John"/>
    <n v="90000159"/>
    <s v="example59@email.com"/>
    <s v="Address 000059"/>
    <s v="Amos"/>
    <n v="2"/>
    <s v="3X Monocrystalline N-Type"/>
    <s v="1x 220Ah X 12V - Tubular"/>
    <d v="2024-05-29T00:00:00"/>
    <x v="1"/>
    <n v="39950000"/>
    <s v="Mobile Bank Transfer"/>
    <s v="N/A"/>
    <m/>
  </r>
  <r>
    <s v="SN-0000060"/>
    <s v="Jane"/>
    <n v="90000160"/>
    <s v="example60@email.com"/>
    <s v="Address 000060"/>
    <s v="Angela"/>
    <n v="2"/>
    <s v="4X  Monocrystalline N-Type"/>
    <s v="1x 220Ah X 12V - Tubular"/>
    <d v="2024-05-30T00:00:00"/>
    <x v="1"/>
    <n v="40550000"/>
    <s v="Mobile Bank Transfer"/>
    <s v="N/A"/>
    <m/>
  </r>
  <r>
    <s v="SN-0000061"/>
    <s v="John"/>
    <n v="90000161"/>
    <s v="example61@email.com"/>
    <s v="Address 000061"/>
    <s v="Amos"/>
    <n v="10"/>
    <s v="3X Monocrystalline N-Type"/>
    <s v="1x 220Ah X 12V - Tubular"/>
    <d v="2024-05-31T00:00:00"/>
    <x v="1"/>
    <n v="41150000"/>
    <s v="Mobile Bank Transfer"/>
    <s v="N/A"/>
    <m/>
  </r>
  <r>
    <s v="SN-0000062"/>
    <s v="Jane"/>
    <n v="90000162"/>
    <s v="example62@email.com"/>
    <s v="Address 000062"/>
    <s v="Angela"/>
    <n v="5"/>
    <s v="4X  Monocrystalline N-Type"/>
    <s v="1x 220Ah X 12V - Tubular"/>
    <d v="2024-06-01T00:00:00"/>
    <x v="2"/>
    <n v="41750000"/>
    <s v="Mobile Bank Transfer"/>
    <s v="N/A"/>
    <m/>
  </r>
  <r>
    <s v="SN-0000063"/>
    <s v="John"/>
    <n v="90000163"/>
    <s v="example63@email.com"/>
    <s v="Address 000063"/>
    <s v="Amos"/>
    <n v="5"/>
    <s v="3X Monocrystalline N-Type"/>
    <s v="1x 220Ah X 12V - Tubular"/>
    <d v="2024-06-02T00:00:00"/>
    <x v="2"/>
    <n v="42350000"/>
    <s v="Mobile Bank Transfer"/>
    <s v="N/A"/>
    <m/>
  </r>
  <r>
    <s v="SN-0000064"/>
    <s v="Jane"/>
    <n v="90000164"/>
    <s v="example64@email.com"/>
    <s v="Address 000064"/>
    <s v="Angela"/>
    <n v="5"/>
    <s v="4X  Monocrystalline N-Type"/>
    <s v="1x 220Ah X 12V - Tubular"/>
    <d v="2024-06-03T00:00:00"/>
    <x v="2"/>
    <n v="42950000"/>
    <s v="Mobile Bank Transfer"/>
    <s v="N/A"/>
    <m/>
  </r>
  <r>
    <s v="SN-0000065"/>
    <s v="John"/>
    <n v="90000165"/>
    <s v="example65@email.com"/>
    <s v="Address 000065"/>
    <s v="Amos"/>
    <n v="15"/>
    <s v="3X Monocrystalline N-Type"/>
    <s v="1x 220Ah X 12V - Tubular"/>
    <d v="2024-06-04T00:00:00"/>
    <x v="2"/>
    <n v="43550000"/>
    <s v="Mobile Bank Transfer"/>
    <s v="N/A"/>
    <m/>
  </r>
  <r>
    <s v="SN-0000066"/>
    <s v="Jane"/>
    <n v="90000166"/>
    <s v="example66@email.com"/>
    <s v="Address 000066"/>
    <s v="Angela"/>
    <n v="10"/>
    <s v="4X  Monocrystalline N-Type"/>
    <s v="1x 220Ah X 12V - Tubular"/>
    <d v="2024-06-05T00:00:00"/>
    <x v="2"/>
    <n v="44150000"/>
    <s v="Mobile Bank Transfer"/>
    <s v="N/A"/>
    <m/>
  </r>
  <r>
    <s v="SN-0000067"/>
    <s v="John"/>
    <n v="90000167"/>
    <s v="example67@email.com"/>
    <s v="Address 000067"/>
    <s v="Amos"/>
    <n v="5"/>
    <s v="3X Monocrystalline N-Type"/>
    <s v="1x 220Ah X 12V - Tubular"/>
    <d v="2024-06-06T00:00:00"/>
    <x v="2"/>
    <n v="44750000"/>
    <s v="Mobile Bank Transfer"/>
    <s v="N/A"/>
    <m/>
  </r>
  <r>
    <s v="SN-0000068"/>
    <s v="Jane"/>
    <n v="90000168"/>
    <s v="example68@email.com"/>
    <s v="Address 000068"/>
    <s v="Angela"/>
    <n v="10"/>
    <s v="4X  Monocrystalline N-Type"/>
    <s v="1x 220Ah X 12V - Tubular"/>
    <d v="2024-06-07T00:00:00"/>
    <x v="2"/>
    <n v="45350000"/>
    <s v="Mobile Bank Transfer"/>
    <s v="N/A"/>
    <m/>
  </r>
  <r>
    <s v="SN-0000069"/>
    <s v="John"/>
    <n v="90000169"/>
    <s v="example69@email.com"/>
    <s v="Address 000069"/>
    <s v="Amos"/>
    <n v="2"/>
    <s v="3X Monocrystalline N-Type"/>
    <s v="1x 220Ah X 12V - Tubular"/>
    <d v="2024-06-08T00:00:00"/>
    <x v="2"/>
    <n v="45950000"/>
    <s v="Mobile Bank Transfer"/>
    <s v="N/A"/>
    <m/>
  </r>
  <r>
    <s v="SN-0000070"/>
    <s v="Jane"/>
    <n v="90000170"/>
    <s v="example70@email.com"/>
    <s v="Address 000070"/>
    <s v="Angela"/>
    <n v="5"/>
    <s v="4X  Monocrystalline N-Type"/>
    <s v="1x 220Ah X 12V - Tubular"/>
    <d v="2024-06-09T00:00:00"/>
    <x v="2"/>
    <n v="46550000"/>
    <s v="Mobile Bank Transfer"/>
    <s v="N/A"/>
    <m/>
  </r>
  <r>
    <s v="SN-0000071"/>
    <s v="John"/>
    <n v="90000171"/>
    <s v="example71@email.com"/>
    <s v="Address 000071"/>
    <s v="Amos"/>
    <n v="15"/>
    <s v="3X Monocrystalline N-Type"/>
    <s v="1x 220Ah X 12V - Tubular"/>
    <d v="2024-06-10T00:00:00"/>
    <x v="2"/>
    <n v="47150000"/>
    <s v="Mobile Bank Transfer"/>
    <s v="N/A"/>
    <m/>
  </r>
  <r>
    <s v="SN-0000072"/>
    <s v="Jane"/>
    <n v="90000172"/>
    <s v="example72@email.com"/>
    <s v="Address 000072"/>
    <s v="Angela"/>
    <n v="2"/>
    <s v="4X  Monocrystalline N-Type"/>
    <s v="1x 220Ah X 12V - Tubular"/>
    <d v="2024-06-11T00:00:00"/>
    <x v="2"/>
    <n v="47750000"/>
    <s v="Mobile Bank Transfer"/>
    <s v="N/A"/>
    <m/>
  </r>
  <r>
    <s v="SN-0000073"/>
    <s v="John"/>
    <n v="90000173"/>
    <s v="example73@email.com"/>
    <s v="Address 000073"/>
    <s v="Amos"/>
    <n v="15"/>
    <s v="3X Monocrystalline N-Type"/>
    <s v="1x 220Ah X 12V - Tubular"/>
    <d v="2024-06-12T00:00:00"/>
    <x v="2"/>
    <n v="48350000"/>
    <s v="Mobile Bank Transfer"/>
    <s v="N/A"/>
    <m/>
  </r>
  <r>
    <s v="SN-0000074"/>
    <s v="Jane"/>
    <n v="90000174"/>
    <s v="example74@email.com"/>
    <s v="Address 000074"/>
    <s v="Angela"/>
    <n v="2"/>
    <s v="4X  Monocrystalline N-Type"/>
    <s v="1x 220Ah X 12V - Tubular"/>
    <d v="2024-06-13T00:00:00"/>
    <x v="2"/>
    <n v="48950000"/>
    <s v="Mobile Bank Transfer"/>
    <s v="N/A"/>
    <m/>
  </r>
  <r>
    <s v="SN-0000075"/>
    <s v="John"/>
    <n v="90000175"/>
    <s v="example75@email.com"/>
    <s v="Address 000075"/>
    <s v="Amos"/>
    <n v="1"/>
    <s v="3X Monocrystalline N-Type"/>
    <s v="1x 220Ah X 12V - Tubular"/>
    <d v="2024-06-14T00:00:00"/>
    <x v="2"/>
    <n v="49550000"/>
    <s v="Mobile Bank Transfer"/>
    <s v="N/A"/>
    <m/>
  </r>
  <r>
    <s v="SN-0000076"/>
    <s v="Jane"/>
    <n v="90000176"/>
    <s v="example76@email.com"/>
    <s v="Address 000076"/>
    <s v="Angela"/>
    <n v="10"/>
    <s v="4X  Monocrystalline N-Type"/>
    <s v="1x 220Ah X 12V - Tubular"/>
    <d v="2024-06-15T00:00:00"/>
    <x v="2"/>
    <n v="50150000"/>
    <s v="Mobile Bank Transfer"/>
    <s v="N/A"/>
    <m/>
  </r>
  <r>
    <s v="SN-0000077"/>
    <s v="John"/>
    <n v="90000177"/>
    <s v="example77@email.com"/>
    <s v="Address 000077"/>
    <s v="Amos"/>
    <n v="5"/>
    <s v="3X Monocrystalline N-Type"/>
    <s v="1x 220Ah X 12V - Tubular"/>
    <d v="2024-06-16T00:00:00"/>
    <x v="2"/>
    <n v="50750000"/>
    <s v="Mobile Bank Transfer"/>
    <s v="N/A"/>
    <m/>
  </r>
  <r>
    <s v="SN-0000078"/>
    <s v="Jane"/>
    <n v="90000178"/>
    <s v="example78@email.com"/>
    <s v="Address 000078"/>
    <s v="Angela"/>
    <n v="10"/>
    <s v="4X  Monocrystalline N-Type"/>
    <s v="1x 220Ah X 12V - Tubular"/>
    <d v="2024-06-17T00:00:00"/>
    <x v="2"/>
    <n v="51350000"/>
    <s v="Mobile Bank Transfer"/>
    <s v="N/A"/>
    <m/>
  </r>
  <r>
    <s v="SN-0000079"/>
    <s v="John"/>
    <n v="90000179"/>
    <s v="example79@email.com"/>
    <s v="Address 000079"/>
    <s v="Amos"/>
    <n v="5"/>
    <s v="3X Monocrystalline N-Type"/>
    <s v="1x 220Ah X 12V - Tubular"/>
    <d v="2024-06-18T00:00:00"/>
    <x v="2"/>
    <n v="51950000"/>
    <s v="Mobile Bank Transfer"/>
    <s v="N/A"/>
    <m/>
  </r>
  <r>
    <s v="SN-0000080"/>
    <s v="Jane"/>
    <n v="90000180"/>
    <s v="example80@email.com"/>
    <s v="Address 000080"/>
    <s v="Angela"/>
    <n v="15"/>
    <s v="4X  Monocrystalline N-Type"/>
    <s v="1x 220Ah X 12V - Tubular"/>
    <d v="2024-06-19T00:00:00"/>
    <x v="2"/>
    <n v="52550000"/>
    <s v="Mobile Bank Transfer"/>
    <s v="N/A"/>
    <m/>
  </r>
  <r>
    <s v="SN-0000081"/>
    <s v="John"/>
    <n v="90000181"/>
    <s v="example81@email.com"/>
    <s v="Address 000081"/>
    <s v="Amos"/>
    <n v="2"/>
    <s v="3X Monocrystalline N-Type"/>
    <s v="1x 220Ah X 12V - Tubular"/>
    <d v="2024-06-20T00:00:00"/>
    <x v="2"/>
    <n v="53150000"/>
    <s v="Mobile Bank Transfer"/>
    <s v="N/A"/>
    <m/>
  </r>
  <r>
    <s v="SN-0000082"/>
    <s v="Jane"/>
    <n v="90000182"/>
    <s v="example82@email.com"/>
    <s v="Address 000082"/>
    <s v="Angela"/>
    <n v="2"/>
    <s v="4X  Monocrystalline N-Type"/>
    <s v="1x 220Ah X 12V - Tubular"/>
    <d v="2024-06-21T00:00:00"/>
    <x v="2"/>
    <n v="53750000"/>
    <s v="Mobile Bank Transfer"/>
    <s v="N/A"/>
    <m/>
  </r>
  <r>
    <s v="SN-0000083"/>
    <s v="John"/>
    <n v="90000183"/>
    <s v="example83@email.com"/>
    <s v="Address 000083"/>
    <s v="Amos"/>
    <n v="10"/>
    <s v="3X Monocrystalline N-Type"/>
    <s v="1x 220Ah X 12V - Tubular"/>
    <d v="2024-06-22T00:00:00"/>
    <x v="2"/>
    <n v="54350000"/>
    <s v="Mobile Bank Transfer"/>
    <s v="N/A"/>
    <m/>
  </r>
  <r>
    <s v="SN-0000084"/>
    <s v="Jane"/>
    <n v="90000184"/>
    <s v="example84@email.com"/>
    <s v="Address 000084"/>
    <s v="Angela"/>
    <n v="5"/>
    <s v="4X  Monocrystalline N-Type"/>
    <s v="1x 220Ah X 12V - Tubular"/>
    <d v="2024-06-23T00:00:00"/>
    <x v="2"/>
    <n v="54950000"/>
    <s v="Mobile Bank Transfer"/>
    <s v="N/A"/>
    <m/>
  </r>
  <r>
    <s v="SN-0000085"/>
    <s v="John"/>
    <n v="90000185"/>
    <s v="example85@email.com"/>
    <s v="Address 000085"/>
    <s v="Amos"/>
    <n v="10"/>
    <s v="3X Monocrystalline N-Type"/>
    <s v="1x 220Ah X 12V - Tubular"/>
    <d v="2024-06-24T00:00:00"/>
    <x v="2"/>
    <n v="55550000"/>
    <s v="Mobile Bank Transfer"/>
    <s v="N/A"/>
    <m/>
  </r>
  <r>
    <s v="SN-0000086"/>
    <s v="Jane"/>
    <n v="90000186"/>
    <s v="example86@email.com"/>
    <s v="Address 000086"/>
    <s v="Angela"/>
    <n v="1"/>
    <s v="4X  Monocrystalline N-Type"/>
    <s v="1x 220Ah X 12V - Tubular"/>
    <d v="2024-06-25T00:00:00"/>
    <x v="2"/>
    <n v="56150000"/>
    <s v="Mobile Bank Transfer"/>
    <s v="N/A"/>
    <m/>
  </r>
  <r>
    <s v="SN-0000087"/>
    <s v="John"/>
    <n v="90000187"/>
    <s v="example87@email.com"/>
    <s v="Address 000087"/>
    <s v="Amos"/>
    <n v="2"/>
    <s v="3X Monocrystalline N-Type"/>
    <s v="1x 220Ah X 12V - Tubular"/>
    <d v="2024-06-26T00:00:00"/>
    <x v="2"/>
    <n v="56750000"/>
    <s v="Mobile Bank Transfer"/>
    <s v="N/A"/>
    <m/>
  </r>
  <r>
    <s v="SN-0000088"/>
    <s v="Jane"/>
    <n v="90000188"/>
    <s v="example88@email.com"/>
    <s v="Address 000088"/>
    <s v="Angela"/>
    <n v="10"/>
    <s v="4X  Monocrystalline N-Type"/>
    <s v="1x 220Ah X 12V - Tubular"/>
    <d v="2024-06-27T00:00:00"/>
    <x v="2"/>
    <n v="57350000"/>
    <s v="Mobile Bank Transfer"/>
    <s v="N/A"/>
    <m/>
  </r>
  <r>
    <s v="SN-0000089"/>
    <s v="John"/>
    <n v="90000189"/>
    <s v="example89@email.com"/>
    <s v="Address 000089"/>
    <s v="Amos"/>
    <n v="1"/>
    <s v="3X Monocrystalline N-Type"/>
    <s v="1x 220Ah X 12V - Tubular"/>
    <d v="2024-06-28T00:00:00"/>
    <x v="2"/>
    <n v="57950000"/>
    <s v="Mobile Bank Transfer"/>
    <s v="N/A"/>
    <m/>
  </r>
  <r>
    <s v="SN-0000090"/>
    <s v="Jane"/>
    <n v="90000190"/>
    <s v="example90@email.com"/>
    <s v="Address 000090"/>
    <s v="Angela"/>
    <n v="15"/>
    <s v="4X  Monocrystalline N-Type"/>
    <s v="1x 220Ah X 12V - Tubular"/>
    <d v="2024-06-29T00:00:00"/>
    <x v="2"/>
    <n v="58550000"/>
    <s v="Mobile Bank Transfer"/>
    <s v="N/A"/>
    <m/>
  </r>
  <r>
    <s v="SN-0000091"/>
    <s v="John"/>
    <n v="90000191"/>
    <s v="example91@email.com"/>
    <s v="Address 000091"/>
    <s v="Amos"/>
    <n v="1"/>
    <s v="3X Monocrystalline N-Type"/>
    <s v="1x 220Ah X 12V - Tubular"/>
    <d v="2024-06-30T00:00:00"/>
    <x v="2"/>
    <n v="59150000"/>
    <s v="Mobile Bank Transfer"/>
    <s v="N/A"/>
    <m/>
  </r>
  <r>
    <s v="SN-0000092"/>
    <s v="Jane"/>
    <n v="90000192"/>
    <s v="example92@email.com"/>
    <s v="Address 000092"/>
    <s v="Angela"/>
    <n v="2"/>
    <s v="4X  Monocrystalline N-Type"/>
    <s v="1x 220Ah X 12V - Tubular"/>
    <d v="2024-07-01T00:00:00"/>
    <x v="3"/>
    <n v="59750000"/>
    <s v="Mobile Bank Transfer"/>
    <s v="N/A"/>
    <m/>
  </r>
  <r>
    <s v="SN-0000093"/>
    <s v="John"/>
    <n v="90000193"/>
    <s v="example93@email.com"/>
    <s v="Address 000093"/>
    <s v="Amos"/>
    <n v="5"/>
    <s v="3X Monocrystalline N-Type"/>
    <s v="1x 220Ah X 12V - Tubular"/>
    <d v="2024-07-02T00:00:00"/>
    <x v="3"/>
    <n v="60350000"/>
    <s v="Mobile Bank Transfer"/>
    <s v="N/A"/>
    <m/>
  </r>
  <r>
    <s v="SN-0000094"/>
    <s v="Jane"/>
    <n v="90000194"/>
    <s v="example94@email.com"/>
    <s v="Address 000094"/>
    <s v="Angela"/>
    <n v="15"/>
    <s v="4X  Monocrystalline N-Type"/>
    <s v="1x 220Ah X 12V - Tubular"/>
    <d v="2024-07-03T00:00:00"/>
    <x v="3"/>
    <n v="60950000"/>
    <s v="Mobile Bank Transfer"/>
    <s v="N/A"/>
    <m/>
  </r>
  <r>
    <s v="SN-0000095"/>
    <s v="John"/>
    <n v="90000195"/>
    <s v="example95@email.com"/>
    <s v="Address 000095"/>
    <s v="Amos"/>
    <n v="1"/>
    <s v="3X Monocrystalline N-Type"/>
    <s v="1x 220Ah X 12V - Tubular"/>
    <d v="2024-07-04T00:00:00"/>
    <x v="3"/>
    <n v="61550000"/>
    <s v="Mobile Bank Transfer"/>
    <s v="N/A"/>
    <m/>
  </r>
  <r>
    <s v="SN-0000096"/>
    <s v="Jane"/>
    <n v="90000196"/>
    <s v="example96@email.com"/>
    <s v="Address 000096"/>
    <s v="Angela"/>
    <n v="5"/>
    <s v="4X  Monocrystalline N-Type"/>
    <s v="1x 220Ah X 12V - Tubular"/>
    <d v="2024-07-05T00:00:00"/>
    <x v="3"/>
    <n v="62150000"/>
    <s v="Mobile Bank Transfer"/>
    <s v="N/A"/>
    <m/>
  </r>
  <r>
    <s v="SN-0000097"/>
    <s v="John"/>
    <n v="90000197"/>
    <s v="example97@email.com"/>
    <s v="Address 000097"/>
    <s v="Amos"/>
    <n v="2"/>
    <s v="3X Monocrystalline N-Type"/>
    <s v="1x 220Ah X 12V - Tubular"/>
    <d v="2024-07-06T00:00:00"/>
    <x v="3"/>
    <n v="62750000"/>
    <s v="Mobile Bank Transfer"/>
    <s v="N/A"/>
    <m/>
  </r>
  <r>
    <s v="SN-0000098"/>
    <s v="Jane"/>
    <n v="90000198"/>
    <s v="example98@email.com"/>
    <s v="Address 000098"/>
    <s v="Angela"/>
    <n v="2"/>
    <s v="4X  Monocrystalline N-Type"/>
    <s v="1x 220Ah X 12V - Tubular"/>
    <d v="2024-07-07T00:00:00"/>
    <x v="3"/>
    <n v="63350000"/>
    <s v="Mobile Bank Transfer"/>
    <s v="N/A"/>
    <m/>
  </r>
  <r>
    <s v="SN-0000099"/>
    <s v="John"/>
    <n v="90000199"/>
    <s v="example99@email.com"/>
    <s v="Address 000099"/>
    <s v="Amos"/>
    <n v="10"/>
    <s v="3X Monocrystalline N-Type"/>
    <s v="1x 220Ah X 12V - Tubular"/>
    <d v="2024-07-08T00:00:00"/>
    <x v="3"/>
    <n v="63950000"/>
    <s v="Mobile Bank Transfer"/>
    <s v="N/A"/>
    <m/>
  </r>
  <r>
    <s v="SN-0000100"/>
    <s v="Jane"/>
    <n v="90000200"/>
    <s v="example100@email.com"/>
    <s v="Address 000100"/>
    <s v="Angela"/>
    <n v="1"/>
    <s v="4X  Monocrystalline N-Type"/>
    <s v="1x 220Ah X 12V - Tubular"/>
    <d v="2024-07-09T00:00:00"/>
    <x v="3"/>
    <n v="64550000"/>
    <s v="Mobile Bank Transfer"/>
    <s v="N/A"/>
    <m/>
  </r>
  <r>
    <s v="SN-0000101"/>
    <s v="John"/>
    <n v="90000201"/>
    <s v="example101@email.com"/>
    <s v="Address 000101"/>
    <s v="Amos"/>
    <n v="1"/>
    <s v="3X Monocrystalline N-Type"/>
    <s v="1x 220Ah X 12V - Tubular"/>
    <d v="2024-07-10T00:00:00"/>
    <x v="3"/>
    <n v="65150000"/>
    <s v="Mobile Bank Transfer"/>
    <s v="N/A"/>
    <m/>
  </r>
  <r>
    <s v="SN-0000102"/>
    <s v="Jane"/>
    <n v="90000202"/>
    <s v="example102@email.com"/>
    <s v="Address 000102"/>
    <s v="Angela"/>
    <n v="10"/>
    <s v="4X  Monocrystalline N-Type"/>
    <s v="1x 220Ah X 12V - Tubular"/>
    <d v="2024-07-11T00:00:00"/>
    <x v="3"/>
    <n v="65750000"/>
    <s v="Mobile Bank Transfer"/>
    <s v="N/A"/>
    <m/>
  </r>
  <r>
    <s v="SN-0000103"/>
    <s v="John"/>
    <n v="90000203"/>
    <s v="example103@email.com"/>
    <s v="Address 000103"/>
    <s v="Amos"/>
    <n v="2"/>
    <s v="3X Monocrystalline N-Type"/>
    <s v="1x 220Ah X 12V - Tubular"/>
    <d v="2024-07-12T00:00:00"/>
    <x v="3"/>
    <n v="66350000"/>
    <s v="Mobile Bank Transfer"/>
    <s v="N/A"/>
    <m/>
  </r>
  <r>
    <s v="SN-0000104"/>
    <s v="Jane"/>
    <n v="90000204"/>
    <s v="example104@email.com"/>
    <s v="Address 000104"/>
    <s v="Angela"/>
    <n v="5"/>
    <s v="4X  Monocrystalline N-Type"/>
    <s v="1x 220Ah X 12V - Tubular"/>
    <d v="2024-07-13T00:00:00"/>
    <x v="3"/>
    <n v="66950000"/>
    <s v="Mobile Bank Transfer"/>
    <s v="N/A"/>
    <m/>
  </r>
  <r>
    <s v="SN-0000105"/>
    <s v="John"/>
    <n v="90000205"/>
    <s v="example105@email.com"/>
    <s v="Address 000105"/>
    <s v="Amos"/>
    <n v="15"/>
    <s v="3X Monocrystalline N-Type"/>
    <s v="1x 220Ah X 12V - Tubular"/>
    <d v="2024-07-14T00:00:00"/>
    <x v="3"/>
    <n v="67550000"/>
    <s v="Mobile Bank Transfer"/>
    <s v="N/A"/>
    <m/>
  </r>
  <r>
    <s v="SN-0000106"/>
    <s v="Jane"/>
    <n v="90000206"/>
    <s v="example106@email.com"/>
    <s v="Address 000106"/>
    <s v="Angela"/>
    <n v="5"/>
    <s v="4X  Monocrystalline N-Type"/>
    <s v="1x 220Ah X 12V - Tubular"/>
    <d v="2024-07-15T00:00:00"/>
    <x v="3"/>
    <n v="68150000"/>
    <s v="Mobile Bank Transfer"/>
    <s v="N/A"/>
    <m/>
  </r>
  <r>
    <s v="SN-0000107"/>
    <s v="John"/>
    <n v="90000207"/>
    <s v="example107@email.com"/>
    <s v="Address 000107"/>
    <s v="Amos"/>
    <n v="5"/>
    <s v="3X Monocrystalline N-Type"/>
    <s v="1x 220Ah X 12V - Tubular"/>
    <d v="2024-07-16T00:00:00"/>
    <x v="3"/>
    <n v="68750000"/>
    <s v="Mobile Bank Transfer"/>
    <s v="N/A"/>
    <m/>
  </r>
  <r>
    <s v="SN-0000108"/>
    <s v="Jane"/>
    <n v="90000208"/>
    <s v="example108@email.com"/>
    <s v="Address 000108"/>
    <s v="Angela"/>
    <n v="5"/>
    <s v="4X  Monocrystalline N-Type"/>
    <s v="1x 220Ah X 12V - Tubular"/>
    <d v="2024-07-17T00:00:00"/>
    <x v="3"/>
    <n v="69350000"/>
    <s v="Mobile Bank Transfer"/>
    <s v="N/A"/>
    <m/>
  </r>
  <r>
    <s v="SN-0000109"/>
    <s v="John"/>
    <n v="90000209"/>
    <s v="example109@email.com"/>
    <s v="Address 000109"/>
    <s v="Amos"/>
    <n v="1"/>
    <s v="3X Monocrystalline N-Type"/>
    <s v="1x 220Ah X 12V - Tubular"/>
    <d v="2024-07-18T00:00:00"/>
    <x v="3"/>
    <n v="69950000"/>
    <s v="Mobile Bank Transfer"/>
    <s v="N/A"/>
    <m/>
  </r>
  <r>
    <s v="SN-0000110"/>
    <s v="Jane"/>
    <n v="90000210"/>
    <s v="example110@email.com"/>
    <s v="Address 000110"/>
    <s v="Angela"/>
    <n v="2"/>
    <s v="4X  Monocrystalline N-Type"/>
    <s v="1x 220Ah X 12V - Tubular"/>
    <d v="2024-07-19T00:00:00"/>
    <x v="3"/>
    <n v="70550000"/>
    <s v="Mobile Bank Transfer"/>
    <s v="N/A"/>
    <m/>
  </r>
  <r>
    <s v="SN-0000111"/>
    <s v="John"/>
    <n v="90000211"/>
    <s v="example111@email.com"/>
    <s v="Address 000111"/>
    <s v="Amos"/>
    <n v="5"/>
    <s v="3X Monocrystalline N-Type"/>
    <s v="1x 220Ah X 12V - Tubular"/>
    <d v="2024-07-20T00:00:00"/>
    <x v="3"/>
    <n v="71150000"/>
    <s v="Mobile Bank Transfer"/>
    <s v="N/A"/>
    <m/>
  </r>
  <r>
    <s v="SN-0000112"/>
    <s v="Jane"/>
    <n v="90000212"/>
    <s v="exampe112@email.com"/>
    <s v="Address 000112"/>
    <s v="Angela"/>
    <n v="10"/>
    <s v="4X  Monocrystalline N-Type"/>
    <s v="1x 220Ah X 12V - Tubular"/>
    <d v="2024-07-21T00:00:00"/>
    <x v="3"/>
    <n v="71750000"/>
    <s v="Mobile Bank Transfer"/>
    <s v="N/A"/>
    <m/>
  </r>
  <r>
    <s v="SN-0000113"/>
    <s v="John"/>
    <n v="90000213"/>
    <s v="example113@email.com"/>
    <s v="Address 000113"/>
    <s v="Amos"/>
    <n v="15"/>
    <s v="3X Monocrystalline N-Type"/>
    <s v="1x 220Ah X 12V - Tubular"/>
    <d v="2024-07-22T00:00:00"/>
    <x v="3"/>
    <n v="72350000"/>
    <s v="Mobile Bank Transfer"/>
    <s v="N/A"/>
    <m/>
  </r>
  <r>
    <s v="SN-0000114"/>
    <s v="Jane"/>
    <n v="90000214"/>
    <s v="example114@email.com"/>
    <s v="Address 000114"/>
    <s v="Angela"/>
    <n v="2"/>
    <s v="4X  Monocrystalline N-Type"/>
    <s v="1x 220Ah X 12V - Tubular"/>
    <d v="2024-07-23T00:00:00"/>
    <x v="3"/>
    <n v="72950000"/>
    <s v="Mobile Bank Transfer"/>
    <s v="N/A"/>
    <m/>
  </r>
  <r>
    <s v="SN-0000115"/>
    <s v="John"/>
    <n v="90000215"/>
    <s v="example115@email.com"/>
    <s v="Address 000115"/>
    <s v="Amos"/>
    <n v="10"/>
    <s v="3X Monocrystalline N-Type"/>
    <s v="1x 220Ah X 12V - Tubular"/>
    <d v="2024-07-24T00:00:00"/>
    <x v="3"/>
    <n v="73550000"/>
    <s v="Mobile Bank Transfer"/>
    <s v="N/A"/>
    <m/>
  </r>
  <r>
    <s v="SN-0000116"/>
    <s v="Jane"/>
    <n v="90000216"/>
    <s v="example116@email.com"/>
    <s v="Address 000116"/>
    <s v="Angela"/>
    <n v="2"/>
    <s v="4X  Monocrystalline N-Type"/>
    <s v="1x 220Ah X 12V - Tubular"/>
    <d v="2024-07-25T00:00:00"/>
    <x v="3"/>
    <n v="74150000"/>
    <s v="Mobile Bank Transfer"/>
    <s v="N/A"/>
    <m/>
  </r>
  <r>
    <s v="SN-0000117"/>
    <s v="John"/>
    <n v="90000217"/>
    <s v="example117@email.com"/>
    <s v="Address 000117"/>
    <s v="Amos"/>
    <n v="10"/>
    <s v="3X Monocrystalline N-Type"/>
    <s v="1x 220Ah X 12V - Tubular"/>
    <d v="2024-07-26T00:00:00"/>
    <x v="3"/>
    <n v="74750000"/>
    <s v="Mobile Bank Transfer"/>
    <s v="N/A"/>
    <m/>
  </r>
  <r>
    <s v="SN-0000118"/>
    <s v="Jane"/>
    <n v="90000218"/>
    <s v="example118@email.com"/>
    <s v="Address 000118"/>
    <s v="Angela"/>
    <n v="10"/>
    <s v="4X  Monocrystalline N-Type"/>
    <s v="1x 220Ah X 12V - Tubular"/>
    <d v="2024-07-27T00:00:00"/>
    <x v="3"/>
    <n v="75350000"/>
    <s v="Mobile Bank Transfer"/>
    <s v="N/A"/>
    <m/>
  </r>
  <r>
    <s v="SN-0000119"/>
    <s v="John"/>
    <n v="90000219"/>
    <s v="example119@email.com"/>
    <s v="Address 000119"/>
    <s v="Amos"/>
    <n v="5"/>
    <s v="3X Monocrystalline N-Type"/>
    <s v="1x 220Ah X 12V - Tubular"/>
    <d v="2024-07-28T00:00:00"/>
    <x v="3"/>
    <n v="75950000"/>
    <s v="Mobile Bank Transfer"/>
    <s v="N/A"/>
    <m/>
  </r>
  <r>
    <s v="SN-0000120"/>
    <s v="Jane"/>
    <n v="90000220"/>
    <s v="example120@email.com"/>
    <s v="Address 000120"/>
    <s v="Angela"/>
    <n v="1"/>
    <s v="4X  Monocrystalline N-Type"/>
    <s v="1x 220Ah X 12V - Tubular"/>
    <d v="2024-07-29T00:00:00"/>
    <x v="3"/>
    <n v="76550000"/>
    <s v="Mobile Bank Transfer"/>
    <s v="N/A"/>
    <m/>
  </r>
  <r>
    <s v="SN-0000121"/>
    <s v="John"/>
    <n v="90000221"/>
    <s v="example121@email.com"/>
    <s v="Address 000121"/>
    <s v="Amos"/>
    <n v="5"/>
    <s v="3X Monocrystalline N-Type"/>
    <s v="1x 220Ah X 12V - Tubular"/>
    <d v="2024-07-30T00:00:00"/>
    <x v="3"/>
    <n v="77150000"/>
    <s v="Mobile Bank Transfer"/>
    <s v="N/A"/>
    <m/>
  </r>
  <r>
    <s v="SN-0000122"/>
    <s v="Jane"/>
    <n v="90000222"/>
    <s v="exampe122@email.com"/>
    <s v="Address 000122"/>
    <s v="Angela"/>
    <n v="2"/>
    <s v="4X  Monocrystalline N-Type"/>
    <s v="1x 220Ah X 12V - Tubular"/>
    <d v="2024-07-31T00:00:00"/>
    <x v="3"/>
    <n v="77750000"/>
    <s v="Mobile Bank Transfer"/>
    <s v="N/A"/>
    <m/>
  </r>
  <r>
    <s v="SN-0000123"/>
    <s v="John"/>
    <n v="90000223"/>
    <s v="example123@email.com"/>
    <s v="Address 000123"/>
    <s v="Amos"/>
    <n v="1"/>
    <s v="3X Monocrystalline N-Type"/>
    <s v="1x 220Ah X 12V - Tubular"/>
    <d v="2024-08-01T00:00:00"/>
    <x v="4"/>
    <n v="78350000"/>
    <s v="Mobile Bank Transfer"/>
    <s v="N/A"/>
    <m/>
  </r>
  <r>
    <s v="SN-0000124"/>
    <s v="Jane"/>
    <n v="90000224"/>
    <s v="example124@email.com"/>
    <s v="Address 000124"/>
    <s v="Angela"/>
    <n v="2"/>
    <s v="4X  Monocrystalline N-Type"/>
    <s v="1x 220Ah X 12V - Tubular"/>
    <d v="2024-08-02T00:00:00"/>
    <x v="4"/>
    <n v="78950000"/>
    <s v="Mobile Bank Transfer"/>
    <s v="N/A"/>
    <m/>
  </r>
  <r>
    <s v="SN-0000125"/>
    <s v="John"/>
    <n v="90000225"/>
    <s v="example125@email.com"/>
    <s v="Address 000125"/>
    <s v="Amos"/>
    <n v="1"/>
    <s v="3X Monocrystalline N-Type"/>
    <s v="1x 220Ah X 12V - Tubular"/>
    <d v="2024-08-03T00:00:00"/>
    <x v="4"/>
    <n v="79550000"/>
    <s v="Mobile Bank Transfer"/>
    <s v="N/A"/>
    <m/>
  </r>
  <r>
    <s v="SN-0000126"/>
    <s v="Jane"/>
    <n v="90000226"/>
    <s v="example126@email.com"/>
    <s v="Address 000126"/>
    <s v="Angela"/>
    <n v="2"/>
    <s v="4X  Monocrystalline N-Type"/>
    <s v="1x 220Ah X 12V - Tubular"/>
    <d v="2024-08-04T00:00:00"/>
    <x v="4"/>
    <n v="80150000"/>
    <s v="Mobile Bank Transfer"/>
    <s v="N/A"/>
    <m/>
  </r>
  <r>
    <s v="SN-0000127"/>
    <s v="John"/>
    <n v="90000227"/>
    <s v="example127@email.com"/>
    <s v="Address 000127"/>
    <s v="Amos"/>
    <n v="5"/>
    <s v="3X Monocrystalline N-Type"/>
    <s v="1x 220Ah X 12V - Tubular"/>
    <d v="2024-08-05T00:00:00"/>
    <x v="4"/>
    <n v="80750000"/>
    <s v="Mobile Bank Transfer"/>
    <s v="N/A"/>
    <m/>
  </r>
  <r>
    <s v="SN-0000128"/>
    <s v="Jane"/>
    <n v="90000228"/>
    <s v="example128@email.com"/>
    <s v="Address 000128"/>
    <s v="Angela"/>
    <n v="10"/>
    <s v="4X  Monocrystalline N-Type"/>
    <s v="1x 220Ah X 12V - Tubular"/>
    <d v="2024-08-06T00:00:00"/>
    <x v="4"/>
    <n v="81350000"/>
    <s v="Mobile Bank Transfer"/>
    <s v="N/A"/>
    <m/>
  </r>
  <r>
    <s v="SN-0000129"/>
    <s v="John"/>
    <n v="90000229"/>
    <s v="example129@email.com"/>
    <s v="Address 000129"/>
    <s v="Amos"/>
    <n v="1"/>
    <s v="3X Monocrystalline N-Type"/>
    <s v="1x 220Ah X 12V - Tubular"/>
    <d v="2024-08-07T00:00:00"/>
    <x v="4"/>
    <n v="81950000"/>
    <s v="Mobile Bank Transfer"/>
    <s v="N/A"/>
    <m/>
  </r>
  <r>
    <s v="SN-0000130"/>
    <s v="Jane"/>
    <n v="90000230"/>
    <s v="example130@email.com"/>
    <s v="Address 000130"/>
    <s v="Angela"/>
    <n v="5"/>
    <s v="4X  Monocrystalline N-Type"/>
    <s v="1x 220Ah X 12V - Tubular"/>
    <d v="2024-08-08T00:00:00"/>
    <x v="4"/>
    <n v="82550000"/>
    <s v="Mobile Bank Transfer"/>
    <s v="N/A"/>
    <m/>
  </r>
  <r>
    <s v="SN-0000131"/>
    <s v="John"/>
    <n v="90000231"/>
    <s v="example131@email.com"/>
    <s v="Address 000131"/>
    <s v="Amos"/>
    <n v="10"/>
    <s v="3X Monocrystalline N-Type"/>
    <s v="1x 220Ah X 12V - Tubular"/>
    <d v="2024-08-09T00:00:00"/>
    <x v="4"/>
    <n v="83150000"/>
    <s v="Mobile Bank Transfer"/>
    <s v="N/A"/>
    <m/>
  </r>
  <r>
    <s v="SN-0000132"/>
    <s v="Jane"/>
    <n v="90000232"/>
    <s v="example132@email.com"/>
    <s v="Address 000132"/>
    <s v="Angela"/>
    <n v="5"/>
    <s v="4X  Monocrystalline N-Type"/>
    <s v="1x 220Ah X 12V - Tubular"/>
    <d v="2024-08-10T00:00:00"/>
    <x v="4"/>
    <n v="83750000"/>
    <s v="Mobile Bank Transfer"/>
    <s v="N/A"/>
    <m/>
  </r>
  <r>
    <s v="SN-0000133"/>
    <s v="John"/>
    <n v="90000233"/>
    <s v="example133@email.com"/>
    <s v="Address 000133"/>
    <s v="Amos"/>
    <n v="1"/>
    <s v="3X Monocrystalline N-Type"/>
    <s v="1x 220Ah X 12V - Tubular"/>
    <d v="2024-08-11T00:00:00"/>
    <x v="4"/>
    <n v="84350000"/>
    <s v="Mobile Bank Transfer"/>
    <s v="N/A"/>
    <m/>
  </r>
  <r>
    <s v="SN-0000134"/>
    <s v="Jane"/>
    <n v="90000234"/>
    <s v="example134@email.com"/>
    <s v="Address 000134"/>
    <s v="Angela"/>
    <n v="10"/>
    <s v="4X  Monocrystalline N-Type"/>
    <s v="1x 220Ah X 12V - Tubular"/>
    <d v="2024-08-12T00:00:00"/>
    <x v="4"/>
    <n v="84950000"/>
    <s v="Mobile Bank Transfer"/>
    <s v="N/A"/>
    <m/>
  </r>
  <r>
    <s v="SN-0000135"/>
    <s v="John"/>
    <n v="90000235"/>
    <s v="example135@email.com"/>
    <s v="Address 000135"/>
    <s v="Amos"/>
    <n v="10"/>
    <s v="3X Monocrystalline N-Type"/>
    <s v="1x 220Ah X 12V - Tubular"/>
    <d v="2024-08-13T00:00:00"/>
    <x v="4"/>
    <n v="85550000"/>
    <s v="Mobile Bank Transfer"/>
    <s v="N/A"/>
    <m/>
  </r>
  <r>
    <s v="SN-0000136"/>
    <s v="Jane"/>
    <n v="90000236"/>
    <s v="example136@email.com"/>
    <s v="Address 000136"/>
    <s v="Angela"/>
    <n v="10"/>
    <s v="4X  Monocrystalline N-Type"/>
    <s v="1x 220Ah X 12V - Tubular"/>
    <d v="2024-08-14T00:00:00"/>
    <x v="4"/>
    <n v="86150000"/>
    <s v="Mobile Bank Transfer"/>
    <s v="N/A"/>
    <m/>
  </r>
  <r>
    <s v="SN-0000137"/>
    <s v="John"/>
    <n v="90000237"/>
    <s v="example137@email.com"/>
    <s v="Address 000137"/>
    <s v="Amos"/>
    <n v="2"/>
    <s v="3X Monocrystalline N-Type"/>
    <s v="1x 220Ah X 12V - Tubular"/>
    <d v="2024-08-15T00:00:00"/>
    <x v="4"/>
    <n v="86750000"/>
    <s v="Mobile Bank Transfer"/>
    <s v="N/A"/>
    <m/>
  </r>
  <r>
    <s v="SN-0000138"/>
    <s v="Jane"/>
    <n v="90000238"/>
    <s v="example138@email.com"/>
    <s v="Address 000138"/>
    <s v="Angela"/>
    <n v="5"/>
    <s v="4X  Monocrystalline N-Type"/>
    <s v="1x 220Ah X 12V - Tubular"/>
    <d v="2024-08-16T00:00:00"/>
    <x v="4"/>
    <n v="87350000"/>
    <s v="Mobile Bank Transfer"/>
    <s v="N/A"/>
    <m/>
  </r>
  <r>
    <s v="SN-0000139"/>
    <s v="John"/>
    <n v="90000239"/>
    <s v="example139@email.com"/>
    <s v="Address 000139"/>
    <s v="Amos"/>
    <n v="15"/>
    <s v="3X Monocrystalline N-Type"/>
    <s v="1x 220Ah X 12V - Tubular"/>
    <d v="2024-08-17T00:00:00"/>
    <x v="4"/>
    <n v="87950000"/>
    <s v="Mobile Bank Transfer"/>
    <s v="N/A"/>
    <m/>
  </r>
  <r>
    <s v="SN-0000140"/>
    <s v="Jane"/>
    <n v="90000240"/>
    <s v="example140@email.com"/>
    <s v="Address 000140"/>
    <s v="Angela"/>
    <n v="2"/>
    <s v="4X  Monocrystalline N-Type"/>
    <s v="1x 220Ah X 12V - Tubular"/>
    <d v="2024-08-18T00:00:00"/>
    <x v="4"/>
    <n v="88550000"/>
    <s v="Mobile Bank Transfer"/>
    <s v="N/A"/>
    <m/>
  </r>
  <r>
    <s v="SN-0000141"/>
    <s v="John"/>
    <n v="90000241"/>
    <s v="example141@email.com"/>
    <s v="Address 000141"/>
    <s v="Amos"/>
    <n v="10"/>
    <s v="3X Monocrystalline N-Type"/>
    <s v="1x 220Ah X 12V - Tubular"/>
    <d v="2024-08-19T00:00:00"/>
    <x v="4"/>
    <n v="89150000"/>
    <s v="Mobile Bank Transfer"/>
    <s v="N/A"/>
    <m/>
  </r>
  <r>
    <s v="SN-0000142"/>
    <s v="Jane"/>
    <n v="90000242"/>
    <s v="example142@email.com"/>
    <s v="Address 000142"/>
    <s v="Angela"/>
    <n v="5"/>
    <s v="4X  Monocrystalline N-Type"/>
    <s v="1x 220Ah X 12V - Tubular"/>
    <d v="2024-08-20T00:00:00"/>
    <x v="4"/>
    <n v="89750000"/>
    <s v="Mobile Bank Transfer"/>
    <s v="N/A"/>
    <m/>
  </r>
  <r>
    <s v="SN-0000143"/>
    <s v="John"/>
    <n v="90000243"/>
    <s v="example143@email.com"/>
    <s v="Address 000143"/>
    <s v="Amos"/>
    <n v="10"/>
    <s v="3X Monocrystalline N-Type"/>
    <s v="1x 220Ah X 12V - Tubular"/>
    <d v="2024-08-21T00:00:00"/>
    <x v="4"/>
    <n v="90350000"/>
    <s v="Mobile Bank Transfer"/>
    <s v="N/A"/>
    <m/>
  </r>
  <r>
    <s v="SN-0000144"/>
    <s v="Jane"/>
    <n v="90000244"/>
    <s v="example144@email.com"/>
    <s v="Address 000144"/>
    <s v="Angela"/>
    <n v="15"/>
    <s v="4X  Monocrystalline N-Type"/>
    <s v="1x 220Ah X 12V - Tubular"/>
    <d v="2024-08-22T00:00:00"/>
    <x v="4"/>
    <n v="90950000"/>
    <s v="Mobile Bank Transfer"/>
    <s v="N/A"/>
    <m/>
  </r>
  <r>
    <s v="SN-0000145"/>
    <s v="John"/>
    <n v="90000245"/>
    <s v="example145@email.com"/>
    <s v="Address 000145"/>
    <s v="Amos"/>
    <n v="1"/>
    <s v="3X Monocrystalline N-Type"/>
    <s v="1x 220Ah X 12V - Tubular"/>
    <d v="2024-08-23T00:00:00"/>
    <x v="4"/>
    <n v="91550000"/>
    <s v="Mobile Bank Transfer"/>
    <s v="N/A"/>
    <m/>
  </r>
  <r>
    <s v="SN-0000146"/>
    <s v="Jane"/>
    <n v="90000246"/>
    <s v="example146@email.com"/>
    <s v="Address 000146"/>
    <s v="Angela"/>
    <n v="10"/>
    <s v="4X  Monocrystalline N-Type"/>
    <s v="1x 220Ah X 12V - Tubular"/>
    <d v="2024-08-24T00:00:00"/>
    <x v="4"/>
    <n v="92150000"/>
    <s v="Mobile Bank Transfer"/>
    <s v="N/A"/>
    <m/>
  </r>
  <r>
    <s v="SN-0000147"/>
    <s v="John"/>
    <n v="90000247"/>
    <s v="example147@email.com"/>
    <s v="Address 000147"/>
    <s v="Amos"/>
    <n v="2"/>
    <s v="3X Monocrystalline N-Type"/>
    <s v="1x 220Ah X 12V - Tubular"/>
    <d v="2024-08-25T00:00:00"/>
    <x v="4"/>
    <n v="92750000"/>
    <s v="Mobile Bank Transfer"/>
    <s v="N/A"/>
    <m/>
  </r>
  <r>
    <s v="SN-0000148"/>
    <s v="Jane"/>
    <n v="90000248"/>
    <s v="example148@email.com"/>
    <s v="Address 000148"/>
    <s v="Angela"/>
    <n v="5"/>
    <s v="4X  Monocrystalline N-Type"/>
    <s v="1x 220Ah X 12V - Tubular"/>
    <d v="2024-08-26T00:00:00"/>
    <x v="4"/>
    <n v="93350000"/>
    <s v="Mobile Bank Transfer"/>
    <s v="N/A"/>
    <m/>
  </r>
  <r>
    <s v="SN-0000149"/>
    <s v="John"/>
    <n v="90000249"/>
    <s v="example149@email.com"/>
    <s v="Address 000149"/>
    <s v="Amos"/>
    <n v="10"/>
    <s v="3X Monocrystalline N-Type"/>
    <s v="1x 220Ah X 12V - Tubular"/>
    <d v="2024-08-27T00:00:00"/>
    <x v="4"/>
    <n v="93950000"/>
    <s v="Mobile Bank Transfer"/>
    <s v="N/A"/>
    <m/>
  </r>
  <r>
    <s v="SN-0000150"/>
    <s v="Jane"/>
    <n v="90000250"/>
    <s v="example150@email.com"/>
    <s v="Address 000150"/>
    <s v="Angela"/>
    <n v="1"/>
    <s v="4X  Monocrystalline N-Type"/>
    <s v="1x 220Ah X 12V - Tubular"/>
    <d v="2024-08-28T00:00:00"/>
    <x v="4"/>
    <n v="94550000"/>
    <s v="Mobile Bank Transfer"/>
    <s v="N/A"/>
    <m/>
  </r>
  <r>
    <s v="SN-0000151"/>
    <s v="John"/>
    <n v="90000251"/>
    <s v="example151@email.com"/>
    <s v="Address 000151"/>
    <s v="Amos"/>
    <n v="10"/>
    <s v="3X Monocrystalline N-Type"/>
    <s v="1x 220Ah X 12V - Tubular"/>
    <d v="2024-08-29T00:00:00"/>
    <x v="4"/>
    <n v="95150000"/>
    <s v="Mobile Bank Transfer"/>
    <s v="N/A"/>
    <m/>
  </r>
  <r>
    <s v="SN-0000152"/>
    <s v="Jane"/>
    <n v="90000252"/>
    <s v="example152@email.com"/>
    <s v="Address 000152"/>
    <s v="Angela"/>
    <n v="1"/>
    <s v="4X  Monocrystalline N-Type"/>
    <s v="1x 220Ah X 12V - Tubular"/>
    <d v="2024-08-30T00:00:00"/>
    <x v="4"/>
    <n v="95750000"/>
    <s v="Mobile Bank Transfer"/>
    <s v="N/A"/>
    <m/>
  </r>
  <r>
    <s v="SN-0000153"/>
    <s v="John"/>
    <n v="90000253"/>
    <s v="example153@email.com"/>
    <s v="Address 000153"/>
    <s v="Amos"/>
    <n v="10"/>
    <s v="3X Monocrystalline N-Type"/>
    <s v="1x 220Ah X 12V - Tubular"/>
    <d v="2024-08-31T00:00:00"/>
    <x v="4"/>
    <n v="96350000"/>
    <s v="Mobile Bank Transfer"/>
    <s v="N/A"/>
    <m/>
  </r>
  <r>
    <s v="SN-0000154"/>
    <s v="Jane"/>
    <n v="90000254"/>
    <s v="example154@email.com"/>
    <s v="Address 000154"/>
    <s v="Angela"/>
    <n v="5"/>
    <s v="4X  Monocrystalline N-Type"/>
    <s v="1x 220Ah X 12V - Tubular"/>
    <d v="2024-09-01T00:00:00"/>
    <x v="5"/>
    <n v="96950000"/>
    <s v="Mobile Bank Transfer"/>
    <s v="N/A"/>
    <m/>
  </r>
  <r>
    <s v="SN-0000155"/>
    <s v="John"/>
    <n v="90000255"/>
    <s v="example155@email.com"/>
    <s v="Address 000155"/>
    <s v="Amos"/>
    <n v="15"/>
    <s v="3X Monocrystalline N-Type"/>
    <s v="1x 220Ah X 12V - Tubular"/>
    <d v="2024-09-02T00:00:00"/>
    <x v="5"/>
    <n v="97550000"/>
    <s v="Mobile Bank Transfer"/>
    <s v="N/A"/>
    <m/>
  </r>
  <r>
    <s v="SN-0000156"/>
    <s v="Jane"/>
    <n v="90000256"/>
    <s v="example156@email.com"/>
    <s v="Address 000156"/>
    <s v="Angela"/>
    <n v="15"/>
    <s v="4X  Monocrystalline N-Type"/>
    <s v="1x 220Ah X 12V - Tubular"/>
    <d v="2024-09-03T00:00:00"/>
    <x v="5"/>
    <n v="98150000"/>
    <s v="Mobile Bank Transfer"/>
    <s v="N/A"/>
    <m/>
  </r>
  <r>
    <s v="SN-0000157"/>
    <s v="John"/>
    <n v="90000257"/>
    <s v="example157@email.com"/>
    <s v="Address 000157"/>
    <s v="Amos"/>
    <n v="2"/>
    <s v="3X Monocrystalline N-Type"/>
    <s v="1x 220Ah X 12V - Tubular"/>
    <d v="2024-09-04T00:00:00"/>
    <x v="5"/>
    <n v="98750000"/>
    <s v="Mobile Bank Transfer"/>
    <s v="N/A"/>
    <m/>
  </r>
  <r>
    <s v="SN-0000158"/>
    <s v="Jane"/>
    <n v="90000258"/>
    <s v="example158@email.com"/>
    <s v="Address 000158"/>
    <s v="Angela"/>
    <n v="5"/>
    <s v="4X  Monocrystalline N-Type"/>
    <s v="1x 220Ah X 12V - Tubular"/>
    <d v="2024-09-05T00:00:00"/>
    <x v="5"/>
    <n v="99350000"/>
    <s v="Mobile Bank Transfer"/>
    <s v="N/A"/>
    <m/>
  </r>
  <r>
    <s v="SN-0000159"/>
    <s v="John"/>
    <n v="90000259"/>
    <s v="example159@email.com"/>
    <s v="Address 000159"/>
    <s v="Amos"/>
    <n v="15"/>
    <s v="3X Monocrystalline N-Type"/>
    <s v="1x 220Ah X 12V - Tubular"/>
    <d v="2024-09-06T00:00:00"/>
    <x v="5"/>
    <n v="99950000"/>
    <s v="Mobile Bank Transfer"/>
    <s v="N/A"/>
    <m/>
  </r>
  <r>
    <s v="SN-0000160"/>
    <s v="Jane"/>
    <n v="90000260"/>
    <s v="example160@email.com"/>
    <s v="Address 000160"/>
    <s v="Angela"/>
    <n v="15"/>
    <s v="4X  Monocrystalline N-Type"/>
    <s v="1x 220Ah X 12V - Tubular"/>
    <d v="2024-09-07T00:00:00"/>
    <x v="5"/>
    <n v="100550000"/>
    <s v="Mobile Bank Transfer"/>
    <s v="N/A"/>
    <m/>
  </r>
  <r>
    <s v="SN-0000161"/>
    <s v="John"/>
    <n v="90000261"/>
    <s v="example161@email.com"/>
    <s v="Address 000161"/>
    <s v="Amos"/>
    <n v="15"/>
    <s v="3X Monocrystalline N-Type"/>
    <s v="1x 220Ah X 12V - Tubular"/>
    <d v="2024-09-08T00:00:00"/>
    <x v="5"/>
    <n v="101150000"/>
    <s v="Mobile Bank Transfer"/>
    <s v="N/A"/>
    <m/>
  </r>
  <r>
    <s v="SN-0000162"/>
    <s v="Jane"/>
    <n v="90000262"/>
    <s v="example162@email.com"/>
    <s v="Address 000162"/>
    <s v="Angela"/>
    <n v="10"/>
    <s v="4X  Monocrystalline N-Type"/>
    <s v="1x 220Ah X 12V - Tubular"/>
    <d v="2024-09-09T00:00:00"/>
    <x v="5"/>
    <n v="101750000"/>
    <s v="Mobile Bank Transfer"/>
    <s v="N/A"/>
    <m/>
  </r>
  <r>
    <s v="SN-0000163"/>
    <s v="John"/>
    <n v="90000263"/>
    <s v="example163@email.com"/>
    <s v="Address 000163"/>
    <s v="Amos"/>
    <n v="10"/>
    <s v="3X Monocrystalline N-Type"/>
    <s v="1x 220Ah X 12V - Tubular"/>
    <d v="2024-09-10T00:00:00"/>
    <x v="5"/>
    <n v="102350000"/>
    <s v="Mobile Bank Transfer"/>
    <s v="N/A"/>
    <m/>
  </r>
  <r>
    <s v="SN-0000164"/>
    <s v="Jane"/>
    <n v="90000264"/>
    <s v="example164@email.com"/>
    <s v="Address 000164"/>
    <s v="Angela"/>
    <n v="2"/>
    <s v="4X  Monocrystalline N-Type"/>
    <s v="1x 220Ah X 12V - Tubular"/>
    <d v="2024-09-11T00:00:00"/>
    <x v="5"/>
    <n v="102950000"/>
    <s v="Mobile Bank Transfer"/>
    <s v="N/A"/>
    <m/>
  </r>
  <r>
    <s v="SN-0000165"/>
    <s v="John"/>
    <n v="90000265"/>
    <s v="example165@email.com"/>
    <s v="Address 000165"/>
    <s v="Amos"/>
    <n v="10"/>
    <s v="3X Monocrystalline N-Type"/>
    <s v="1x 220Ah X 12V - Tubular"/>
    <d v="2024-09-12T00:00:00"/>
    <x v="5"/>
    <n v="103550000"/>
    <s v="Mobile Bank Transfer"/>
    <s v="N/A"/>
    <m/>
  </r>
  <r>
    <s v="SN-0000166"/>
    <s v="Jane"/>
    <n v="90000266"/>
    <s v="example166@email.com"/>
    <s v="Address 000166"/>
    <s v="Angela"/>
    <n v="5"/>
    <s v="4X  Monocrystalline N-Type"/>
    <s v="1x 220Ah X 12V - Tubular"/>
    <d v="2024-09-13T00:00:00"/>
    <x v="5"/>
    <n v="104150000"/>
    <s v="Mobile Bank Transfer"/>
    <s v="N/A"/>
    <m/>
  </r>
  <r>
    <s v="SN-0000167"/>
    <s v="John"/>
    <n v="90000267"/>
    <s v="example167@email.com"/>
    <s v="Address 000167"/>
    <s v="Amos"/>
    <n v="5"/>
    <s v="3X Monocrystalline N-Type"/>
    <s v="1x 220Ah X 12V - Tubular"/>
    <d v="2024-09-14T00:00:00"/>
    <x v="5"/>
    <n v="104750000"/>
    <s v="Mobile Bank Transfer"/>
    <s v="N/A"/>
    <m/>
  </r>
  <r>
    <s v="SN-0000168"/>
    <s v="Jane"/>
    <n v="90000268"/>
    <s v="example168@email.com"/>
    <s v="Address 000168"/>
    <s v="Angela"/>
    <n v="2"/>
    <s v="4X  Monocrystalline N-Type"/>
    <s v="1x 220Ah X 12V - Tubular"/>
    <d v="2024-09-15T00:00:00"/>
    <x v="5"/>
    <n v="105350000"/>
    <s v="Mobile Bank Transfer"/>
    <s v="N/A"/>
    <m/>
  </r>
  <r>
    <s v="SN-0000169"/>
    <s v="John"/>
    <n v="90000269"/>
    <s v="example169@email.com"/>
    <s v="Address 000169"/>
    <s v="Amos"/>
    <n v="2"/>
    <s v="3X Monocrystalline N-Type"/>
    <s v="1x 220Ah X 12V - Tubular"/>
    <d v="2024-09-16T00:00:00"/>
    <x v="5"/>
    <n v="105950000"/>
    <s v="Mobile Bank Transfer"/>
    <s v="N/A"/>
    <m/>
  </r>
  <r>
    <s v="SN-0000170"/>
    <s v="Jane"/>
    <n v="90000270"/>
    <s v="example170@email.com"/>
    <s v="Address 000170"/>
    <s v="Angela"/>
    <n v="15"/>
    <s v="4X  Monocrystalline N-Type"/>
    <s v="1x 220Ah X 12V - Tubular"/>
    <d v="2024-09-17T00:00:00"/>
    <x v="5"/>
    <n v="106550000"/>
    <s v="Mobile Bank Transfer"/>
    <s v="N/A"/>
    <m/>
  </r>
  <r>
    <s v="SN-0000171"/>
    <s v="John"/>
    <n v="90000271"/>
    <s v="example171@email.com"/>
    <s v="Address 000171"/>
    <s v="Amos"/>
    <n v="10"/>
    <s v="3X Monocrystalline N-Type"/>
    <s v="1x 220Ah X 12V - Tubular"/>
    <d v="2024-09-18T00:00:00"/>
    <x v="5"/>
    <n v="107150000"/>
    <s v="Mobile Bank Transfer"/>
    <s v="N/A"/>
    <m/>
  </r>
  <r>
    <s v="SN-0000172"/>
    <s v="Jane"/>
    <n v="90000272"/>
    <s v="example172@email.com"/>
    <s v="Address 000172"/>
    <s v="Angela"/>
    <n v="10"/>
    <s v="4X  Monocrystalline N-Type"/>
    <s v="1x 220Ah X 12V - Tubular"/>
    <d v="2024-09-19T00:00:00"/>
    <x v="5"/>
    <n v="107750000"/>
    <s v="Mobile Bank Transfer"/>
    <s v="N/A"/>
    <m/>
  </r>
  <r>
    <s v="SN-0000173"/>
    <s v="John"/>
    <n v="90000273"/>
    <s v="example173@email.com"/>
    <s v="Address 000173"/>
    <s v="Amos"/>
    <n v="5"/>
    <s v="3X Monocrystalline N-Type"/>
    <s v="1x 220Ah X 12V - Tubular"/>
    <d v="2024-09-20T00:00:00"/>
    <x v="5"/>
    <n v="108350000"/>
    <s v="Mobile Bank Transfer"/>
    <s v="N/A"/>
    <m/>
  </r>
  <r>
    <s v="SN-0000174"/>
    <s v="Jane"/>
    <n v="90000274"/>
    <s v="example174@email.com"/>
    <s v="Address 000174"/>
    <s v="Angela"/>
    <n v="15"/>
    <s v="4X  Monocrystalline N-Type"/>
    <s v="1x 220Ah X 12V - Tubular"/>
    <d v="2024-09-21T00:00:00"/>
    <x v="5"/>
    <n v="108950000"/>
    <s v="Mobile Bank Transfer"/>
    <s v="N/A"/>
    <m/>
  </r>
  <r>
    <s v="SN-0000175"/>
    <s v="John"/>
    <n v="90000275"/>
    <s v="example175@email.com"/>
    <s v="Address 000175"/>
    <s v="Amos"/>
    <n v="1"/>
    <s v="3X Monocrystalline N-Type"/>
    <s v="1x 220Ah X 12V - Tubular"/>
    <d v="2024-09-22T00:00:00"/>
    <x v="5"/>
    <n v="109550000"/>
    <s v="Mobile Bank Transfer"/>
    <s v="N/A"/>
    <m/>
  </r>
  <r>
    <s v="SN-0000176"/>
    <s v="Jane"/>
    <n v="90000276"/>
    <s v="example176@email.com"/>
    <s v="Address 000176"/>
    <s v="Angela"/>
    <n v="2"/>
    <s v="4X  Monocrystalline N-Type"/>
    <s v="1x 220Ah X 12V - Tubular"/>
    <d v="2024-09-23T00:00:00"/>
    <x v="5"/>
    <n v="110150000"/>
    <s v="Mobile Bank Transfer"/>
    <s v="N/A"/>
    <m/>
  </r>
  <r>
    <s v="SN-0000177"/>
    <s v="John"/>
    <n v="90000277"/>
    <s v="example177@email.com"/>
    <s v="Address 000177"/>
    <s v="Amos"/>
    <n v="15"/>
    <s v="3X Monocrystalline N-Type"/>
    <s v="1x 220Ah X 12V - Tubular"/>
    <d v="2024-09-24T00:00:00"/>
    <x v="5"/>
    <n v="110750000"/>
    <s v="Mobile Bank Transfer"/>
    <s v="N/A"/>
    <m/>
  </r>
  <r>
    <s v="SN-0000178"/>
    <s v="Jane"/>
    <n v="90000278"/>
    <s v="example178@email.com"/>
    <s v="Address 000178"/>
    <s v="Angela"/>
    <n v="10"/>
    <s v="4X  Monocrystalline N-Type"/>
    <s v="1x 220Ah X 12V - Tubular"/>
    <d v="2024-09-25T00:00:00"/>
    <x v="5"/>
    <n v="111350000"/>
    <s v="Mobile Bank Transfer"/>
    <s v="N/A"/>
    <m/>
  </r>
  <r>
    <s v="SN-0000179"/>
    <s v="John"/>
    <n v="90000279"/>
    <s v="example179@email.com"/>
    <s v="Address 000179"/>
    <s v="Amos"/>
    <n v="5"/>
    <s v="3X Monocrystalline N-Type"/>
    <s v="1x 220Ah X 12V - Tubular"/>
    <d v="2024-09-26T00:00:00"/>
    <x v="5"/>
    <n v="111950000"/>
    <s v="Mobile Bank Transfer"/>
    <s v="N/A"/>
    <m/>
  </r>
  <r>
    <s v="SN-0000180"/>
    <s v="Jane"/>
    <n v="90000280"/>
    <s v="example180@email.com"/>
    <s v="Address 000180"/>
    <s v="Angela"/>
    <n v="15"/>
    <s v="4X  Monocrystalline N-Type"/>
    <s v="1x 220Ah X 12V - Tubular"/>
    <d v="2024-09-27T00:00:00"/>
    <x v="5"/>
    <n v="112550000"/>
    <s v="Mobile Bank Transfer"/>
    <s v="N/A"/>
    <m/>
  </r>
  <r>
    <s v="SN-0000181"/>
    <s v="John"/>
    <n v="90000281"/>
    <s v="example181@email.com"/>
    <s v="Address 000181"/>
    <s v="Amos"/>
    <n v="2"/>
    <s v="3X Monocrystalline N-Type"/>
    <s v="1x 220Ah X 12V - Tubular"/>
    <d v="2024-09-28T00:00:00"/>
    <x v="5"/>
    <n v="113150000"/>
    <s v="Mobile Bank Transfer"/>
    <s v="N/A"/>
    <m/>
  </r>
  <r>
    <s v="SN-0000182"/>
    <s v="Jane"/>
    <n v="90000282"/>
    <s v="example182@email.com"/>
    <s v="Address 000182"/>
    <s v="Angela"/>
    <n v="1"/>
    <s v="4X  Monocrystalline N-Type"/>
    <s v="1x 220Ah X 12V - Tubular"/>
    <d v="2024-09-29T00:00:00"/>
    <x v="5"/>
    <n v="113750000"/>
    <s v="Mobile Bank Transfer"/>
    <s v="N/A"/>
    <m/>
  </r>
  <r>
    <s v="SN-0000183"/>
    <s v="John"/>
    <n v="90000283"/>
    <s v="example183@email.com"/>
    <s v="Address 000183"/>
    <s v="Amos"/>
    <n v="2"/>
    <s v="3X Monocrystalline N-Type"/>
    <s v="1x 220Ah X 12V - Tubular"/>
    <d v="2024-09-30T00:00:00"/>
    <x v="5"/>
    <n v="114350000"/>
    <s v="Mobile Bank Transfer"/>
    <s v="N/A"/>
    <m/>
  </r>
  <r>
    <s v="SN-0000184"/>
    <s v="Jane"/>
    <n v="90000284"/>
    <s v="example184@email.com"/>
    <s v="Address 000184"/>
    <s v="Angela"/>
    <n v="10"/>
    <s v="4X  Monocrystalline N-Type"/>
    <s v="1x 220Ah X 12V - Tubular"/>
    <d v="2024-10-01T00:00:00"/>
    <x v="6"/>
    <n v="114950000"/>
    <s v="Mobile Bank Transfer"/>
    <s v="N/A"/>
    <m/>
  </r>
  <r>
    <s v="SN-0000185"/>
    <s v="John"/>
    <n v="90000285"/>
    <s v="example185@email.com"/>
    <s v="Address 000185"/>
    <s v="Amos"/>
    <n v="10"/>
    <s v="3X Monocrystalline N-Type"/>
    <s v="1x 220Ah X 12V - Tubular"/>
    <d v="2024-10-02T00:00:00"/>
    <x v="6"/>
    <n v="115550000"/>
    <s v="Mobile Bank Transfer"/>
    <s v="N/A"/>
    <m/>
  </r>
  <r>
    <s v="SN-0000186"/>
    <s v="Jane"/>
    <n v="90000286"/>
    <s v="example186@email.com"/>
    <s v="Address 000186"/>
    <s v="Angela"/>
    <n v="5"/>
    <s v="4X  Monocrystalline N-Type"/>
    <s v="1x 220Ah X 12V - Tubular"/>
    <d v="2024-10-03T00:00:00"/>
    <x v="6"/>
    <n v="116150000"/>
    <s v="Mobile Bank Transfer"/>
    <s v="N/A"/>
    <m/>
  </r>
  <r>
    <s v="SN-0000187"/>
    <s v="John"/>
    <n v="90000287"/>
    <s v="example187@email.com"/>
    <s v="Address 000187"/>
    <s v="Amos"/>
    <n v="15"/>
    <s v="3X Monocrystalline N-Type"/>
    <s v="1x 220Ah X 12V - Tubular"/>
    <d v="2024-10-04T00:00:00"/>
    <x v="6"/>
    <n v="116750000"/>
    <s v="Mobile Bank Transfer"/>
    <s v="N/A"/>
    <m/>
  </r>
  <r>
    <s v="SN-0000188"/>
    <s v="Jane"/>
    <n v="90000288"/>
    <s v="example188@email.com"/>
    <s v="Address 000188"/>
    <s v="Angela"/>
    <n v="5"/>
    <s v="4X  Monocrystalline N-Type"/>
    <s v="1x 220Ah X 12V - Tubular"/>
    <d v="2024-10-05T00:00:00"/>
    <x v="6"/>
    <n v="117350000"/>
    <s v="Mobile Bank Transfer"/>
    <s v="N/A"/>
    <m/>
  </r>
  <r>
    <s v="SN-0000189"/>
    <s v="John"/>
    <n v="90000289"/>
    <s v="example189@email.com"/>
    <s v="Address 000189"/>
    <s v="Amos"/>
    <n v="5"/>
    <s v="3X Monocrystalline N-Type"/>
    <s v="1x 220Ah X 12V - Tubular"/>
    <d v="2024-10-06T00:00:00"/>
    <x v="6"/>
    <n v="117950000"/>
    <s v="Mobile Bank Transfer"/>
    <s v="N/A"/>
    <m/>
  </r>
  <r>
    <s v="SN-0000190"/>
    <s v="Jane"/>
    <n v="90000290"/>
    <s v="example190@email.com"/>
    <s v="Address 000190"/>
    <s v="Angela"/>
    <n v="2"/>
    <s v="4X  Monocrystalline N-Type"/>
    <s v="1x 220Ah X 12V - Tubular"/>
    <d v="2024-10-07T00:00:00"/>
    <x v="6"/>
    <n v="118550000"/>
    <s v="Mobile Bank Transfer"/>
    <s v="N/A"/>
    <m/>
  </r>
  <r>
    <s v="SN-0000191"/>
    <s v="John"/>
    <n v="90000291"/>
    <s v="example191@email.com"/>
    <s v="Address 000191"/>
    <s v="Amos"/>
    <n v="10"/>
    <s v="3X Monocrystalline N-Type"/>
    <s v="1x 220Ah X 12V - Tubular"/>
    <d v="2024-10-08T00:00:00"/>
    <x v="6"/>
    <n v="119150000"/>
    <s v="Mobile Bank Transfer"/>
    <s v="N/A"/>
    <m/>
  </r>
  <r>
    <s v="SN-0000192"/>
    <s v="Jane"/>
    <n v="90000292"/>
    <s v="example192@email.com"/>
    <s v="Address 000192"/>
    <s v="Angela"/>
    <n v="1"/>
    <s v="4X  Monocrystalline N-Type"/>
    <s v="1x 220Ah X 12V - Tubular"/>
    <d v="2024-10-09T00:00:00"/>
    <x v="6"/>
    <n v="119750000"/>
    <s v="Mobile Bank Transfer"/>
    <s v="N/A"/>
    <m/>
  </r>
  <r>
    <s v="SN-0000193"/>
    <s v="John"/>
    <n v="90000293"/>
    <s v="example193@email.com"/>
    <s v="Address 000193"/>
    <s v="Amos"/>
    <n v="10"/>
    <s v="3X Monocrystalline N-Type"/>
    <s v="1x 220Ah X 12V - Tubular"/>
    <d v="2024-10-10T00:00:00"/>
    <x v="6"/>
    <n v="120350000"/>
    <s v="Mobile Bank Transfer"/>
    <s v="N/A"/>
    <m/>
  </r>
  <r>
    <s v="SN-0000194"/>
    <s v="Jane"/>
    <n v="90000294"/>
    <s v="example194@email.com"/>
    <s v="Address 000194"/>
    <s v="Angela"/>
    <n v="1"/>
    <s v="4X  Monocrystalline N-Type"/>
    <s v="1x 220Ah X 12V - Tubular"/>
    <d v="2024-10-11T00:00:00"/>
    <x v="6"/>
    <n v="120950000"/>
    <s v="Mobile Bank Transfer"/>
    <s v="N/A"/>
    <m/>
  </r>
  <r>
    <s v="SN-0000195"/>
    <s v="John"/>
    <n v="90000295"/>
    <s v="example195@email.com"/>
    <s v="Address 000195"/>
    <s v="Amos"/>
    <n v="15"/>
    <s v="3X Monocrystalline N-Type"/>
    <s v="1x 220Ah X 12V - Tubular"/>
    <d v="2024-10-12T00:00:00"/>
    <x v="6"/>
    <n v="121550000"/>
    <s v="Mobile Bank Transfer"/>
    <s v="N/A"/>
    <m/>
  </r>
  <r>
    <s v="SN-0000196"/>
    <s v="Jane"/>
    <n v="90000296"/>
    <s v="example196@email.com"/>
    <s v="Address 000196"/>
    <s v="Angela"/>
    <n v="15"/>
    <s v="4X  Monocrystalline N-Type"/>
    <s v="1x 220Ah X 12V - Tubular"/>
    <d v="2024-10-13T00:00:00"/>
    <x v="6"/>
    <n v="122150000"/>
    <s v="Mobile Bank Transfer"/>
    <s v="N/A"/>
    <m/>
  </r>
  <r>
    <s v="SN-0000197"/>
    <s v="John"/>
    <n v="90000297"/>
    <s v="example197@email.com"/>
    <s v="Address 000197"/>
    <s v="Amos"/>
    <n v="2"/>
    <s v="3X Monocrystalline N-Type"/>
    <s v="1x 220Ah X 12V - Tubular"/>
    <d v="2024-10-14T00:00:00"/>
    <x v="6"/>
    <n v="122750000"/>
    <s v="Mobile Bank Transfer"/>
    <s v="N/A"/>
    <m/>
  </r>
  <r>
    <s v="SN-0000198"/>
    <s v="Jane"/>
    <n v="90000298"/>
    <s v="example198@email.com"/>
    <s v="Address 000198"/>
    <s v="Angela"/>
    <n v="1"/>
    <s v="4X  Monocrystalline N-Type"/>
    <s v="1x 220Ah X 12V - Tubular"/>
    <d v="2024-10-15T00:00:00"/>
    <x v="6"/>
    <n v="123350000"/>
    <s v="Mobile Bank Transfer"/>
    <s v="N/A"/>
    <m/>
  </r>
  <r>
    <s v="SN-0000199"/>
    <s v="John"/>
    <n v="90000299"/>
    <s v="example199@email.com"/>
    <s v="Address 000199"/>
    <s v="Amos"/>
    <n v="10"/>
    <s v="3X Monocrystalline N-Type"/>
    <s v="1x 220Ah X 12V - Tubular"/>
    <d v="2024-10-16T00:00:00"/>
    <x v="6"/>
    <n v="123950000"/>
    <s v="Mobile Bank Transfer"/>
    <s v="N/A"/>
    <m/>
  </r>
  <r>
    <s v="SN-0000200"/>
    <s v="Jane"/>
    <n v="90000300"/>
    <s v="example200@email.com"/>
    <s v="Address 000200"/>
    <s v="Angela"/>
    <n v="5"/>
    <s v="4X  Monocrystalline N-Type"/>
    <s v="1x 220Ah X 12V - Tubular"/>
    <d v="2024-10-17T00:00:00"/>
    <x v="6"/>
    <n v="124550000"/>
    <s v="Mobile Bank Transfer"/>
    <s v="N/A"/>
    <m/>
  </r>
  <r>
    <m/>
    <m/>
    <m/>
    <m/>
    <m/>
    <m/>
    <m/>
    <m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7E41E-2F33-44DD-88B3-4D8109E0FF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B2:C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nstallations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E01DC-3F50-4CBF-92D5-948027D82F3A}" name="Dashboard" displayName="Dashboard" ref="A1:O202" totalsRowShown="0" headerRowDxfId="22" dataDxfId="21">
  <autoFilter ref="A1:O202" xr:uid="{E56E01DC-3F50-4CBF-92D5-948027D82F3A}"/>
  <tableColumns count="15">
    <tableColumn id="1" xr3:uid="{1E94A1E7-2BA7-4DCE-BB79-78FF83756BFA}" name="Serial Number (unique identifier)" dataDxfId="20"/>
    <tableColumn id="2" xr3:uid="{7E014133-D78F-4C31-8A53-91F42758F4A1}" name="Full Name" dataDxfId="19"/>
    <tableColumn id="3" xr3:uid="{317548DF-FC02-49CE-88A0-BA45D32241BD}" name="Phone" dataDxfId="18"/>
    <tableColumn id="4" xr3:uid="{2A914F14-1E7A-4563-906D-7A79E23CEC35}" name="Email" dataDxfId="17" dataCellStyle="Hyperlink"/>
    <tableColumn id="5" xr3:uid="{290336F2-B676-4FA7-B1DA-4B1CB8944D86}" name="Installation Address" dataDxfId="16"/>
    <tableColumn id="6" xr3:uid="{F9BCDE42-5CBD-4B33-B2FF-FE7F71712613}" name="Lead Source" dataDxfId="15"/>
    <tableColumn id="7" xr3:uid="{7BE410BD-DF4B-4847-87BB-6F54EEA7E233}" name="System Size" dataDxfId="14"/>
    <tableColumn id="8" xr3:uid="{8E45BC77-F5B5-4739-846A-B76F49E57A5C}" name="Panel Model &amp; Quantity" dataDxfId="13"/>
    <tableColumn id="9" xr3:uid="{ACD22FE5-D847-48C0-8752-D1ED9D110004}" name="Battery Storage" dataDxfId="12"/>
    <tableColumn id="10" xr3:uid="{5C9432E2-465C-4B31-B144-96392DAEC472}" name="Installation Date (M/D/Y)" dataDxfId="11"/>
    <tableColumn id="16" xr3:uid="{D0D1E800-C801-4B30-92F9-3DB768AFF3B7}" name="Installation Month" dataDxfId="10">
      <calculatedColumnFormula>TEXT(J2,"mmm")</calculatedColumnFormula>
    </tableColumn>
    <tableColumn id="11" xr3:uid="{EF3DE1BC-C7A5-435F-9875-55CBAFEB2FE6}" name="Total Contract Value" dataDxfId="9"/>
    <tableColumn id="12" xr3:uid="{729689A8-5031-44D9-9EF6-09FAFAA81A74}" name="Mode of Payment" dataDxfId="8"/>
    <tableColumn id="13" xr3:uid="{A391CBA9-1EE3-406F-B22B-DD5C7BA33647}" name="Warranty Expiration" dataDxfId="7"/>
    <tableColumn id="14" xr3:uid="{E0AD85A5-BC7B-45AC-931E-60278292F20B}" name="Most recent Maintenance Da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2A67B7-98A6-44E2-AAC9-4A7B31143968}" name="Table2" displayName="Table2" ref="J21:K26" totalsRowShown="0">
  <autoFilter ref="J21:K26" xr:uid="{062A67B7-98A6-44E2-AAC9-4A7B31143968}"/>
  <sortState xmlns:xlrd2="http://schemas.microsoft.com/office/spreadsheetml/2017/richdata2" ref="J22:K26">
    <sortCondition ref="K21:K26"/>
  </sortState>
  <tableColumns count="2">
    <tableColumn id="1" xr3:uid="{6DB3744B-80B5-4C65-8908-A3B5F84484A2}" name="System Size" dataDxfId="5"/>
    <tableColumn id="2" xr3:uid="{9AA90A45-D7F2-4A8E-96CD-4E9D9A207571}" name="Count" dataDxfId="4">
      <calculatedColumnFormula>COUNTIF('Solar Company Dashboard'!G:G,J22)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xample117@email.com" TargetMode="External"/><Relationship Id="rId21" Type="http://schemas.openxmlformats.org/officeDocument/2006/relationships/hyperlink" Target="mailto:example21@email.com" TargetMode="External"/><Relationship Id="rId42" Type="http://schemas.openxmlformats.org/officeDocument/2006/relationships/hyperlink" Target="mailto:example42@email.com" TargetMode="External"/><Relationship Id="rId63" Type="http://schemas.openxmlformats.org/officeDocument/2006/relationships/hyperlink" Target="mailto:example63@email.com" TargetMode="External"/><Relationship Id="rId84" Type="http://schemas.openxmlformats.org/officeDocument/2006/relationships/hyperlink" Target="mailto:example84@email.com" TargetMode="External"/><Relationship Id="rId138" Type="http://schemas.openxmlformats.org/officeDocument/2006/relationships/hyperlink" Target="mailto:example138@email.com" TargetMode="External"/><Relationship Id="rId159" Type="http://schemas.openxmlformats.org/officeDocument/2006/relationships/hyperlink" Target="mailto:example159@email.com" TargetMode="External"/><Relationship Id="rId170" Type="http://schemas.openxmlformats.org/officeDocument/2006/relationships/hyperlink" Target="mailto:example170@email.com" TargetMode="External"/><Relationship Id="rId191" Type="http://schemas.openxmlformats.org/officeDocument/2006/relationships/hyperlink" Target="mailto:example191@email.com" TargetMode="External"/><Relationship Id="rId196" Type="http://schemas.openxmlformats.org/officeDocument/2006/relationships/hyperlink" Target="mailto:example196@email.com" TargetMode="External"/><Relationship Id="rId200" Type="http://schemas.openxmlformats.org/officeDocument/2006/relationships/hyperlink" Target="mailto:example200@email.com" TargetMode="External"/><Relationship Id="rId16" Type="http://schemas.openxmlformats.org/officeDocument/2006/relationships/hyperlink" Target="mailto:example16@email.com" TargetMode="External"/><Relationship Id="rId107" Type="http://schemas.openxmlformats.org/officeDocument/2006/relationships/hyperlink" Target="mailto:example107@email.com" TargetMode="External"/><Relationship Id="rId11" Type="http://schemas.openxmlformats.org/officeDocument/2006/relationships/hyperlink" Target="mailto:example11@email.com" TargetMode="External"/><Relationship Id="rId32" Type="http://schemas.openxmlformats.org/officeDocument/2006/relationships/hyperlink" Target="mailto:example32@email.com" TargetMode="External"/><Relationship Id="rId37" Type="http://schemas.openxmlformats.org/officeDocument/2006/relationships/hyperlink" Target="mailto:example37@email.com" TargetMode="External"/><Relationship Id="rId53" Type="http://schemas.openxmlformats.org/officeDocument/2006/relationships/hyperlink" Target="mailto:example53@email.com" TargetMode="External"/><Relationship Id="rId58" Type="http://schemas.openxmlformats.org/officeDocument/2006/relationships/hyperlink" Target="mailto:example58@email.com" TargetMode="External"/><Relationship Id="rId74" Type="http://schemas.openxmlformats.org/officeDocument/2006/relationships/hyperlink" Target="mailto:example74@email.com" TargetMode="External"/><Relationship Id="rId79" Type="http://schemas.openxmlformats.org/officeDocument/2006/relationships/hyperlink" Target="mailto:example79@email.com" TargetMode="External"/><Relationship Id="rId102" Type="http://schemas.openxmlformats.org/officeDocument/2006/relationships/hyperlink" Target="mailto:example102@email.com" TargetMode="External"/><Relationship Id="rId123" Type="http://schemas.openxmlformats.org/officeDocument/2006/relationships/hyperlink" Target="mailto:example123@email.com" TargetMode="External"/><Relationship Id="rId128" Type="http://schemas.openxmlformats.org/officeDocument/2006/relationships/hyperlink" Target="mailto:example128@email.com" TargetMode="External"/><Relationship Id="rId144" Type="http://schemas.openxmlformats.org/officeDocument/2006/relationships/hyperlink" Target="mailto:example144@email.com" TargetMode="External"/><Relationship Id="rId149" Type="http://schemas.openxmlformats.org/officeDocument/2006/relationships/hyperlink" Target="mailto:example149@email.com" TargetMode="External"/><Relationship Id="rId5" Type="http://schemas.openxmlformats.org/officeDocument/2006/relationships/hyperlink" Target="mailto:example5@email.com" TargetMode="External"/><Relationship Id="rId90" Type="http://schemas.openxmlformats.org/officeDocument/2006/relationships/hyperlink" Target="mailto:example90@email.com" TargetMode="External"/><Relationship Id="rId95" Type="http://schemas.openxmlformats.org/officeDocument/2006/relationships/hyperlink" Target="mailto:example95@email.com" TargetMode="External"/><Relationship Id="rId160" Type="http://schemas.openxmlformats.org/officeDocument/2006/relationships/hyperlink" Target="mailto:example160@email.com" TargetMode="External"/><Relationship Id="rId165" Type="http://schemas.openxmlformats.org/officeDocument/2006/relationships/hyperlink" Target="mailto:example165@email.com" TargetMode="External"/><Relationship Id="rId181" Type="http://schemas.openxmlformats.org/officeDocument/2006/relationships/hyperlink" Target="mailto:example181@email.com" TargetMode="External"/><Relationship Id="rId186" Type="http://schemas.openxmlformats.org/officeDocument/2006/relationships/hyperlink" Target="mailto:example186@email.com" TargetMode="External"/><Relationship Id="rId22" Type="http://schemas.openxmlformats.org/officeDocument/2006/relationships/hyperlink" Target="mailto:example22@email.com" TargetMode="External"/><Relationship Id="rId27" Type="http://schemas.openxmlformats.org/officeDocument/2006/relationships/hyperlink" Target="mailto:example27@email.com" TargetMode="External"/><Relationship Id="rId43" Type="http://schemas.openxmlformats.org/officeDocument/2006/relationships/hyperlink" Target="mailto:example43@email.com" TargetMode="External"/><Relationship Id="rId48" Type="http://schemas.openxmlformats.org/officeDocument/2006/relationships/hyperlink" Target="mailto:example48@email.com" TargetMode="External"/><Relationship Id="rId64" Type="http://schemas.openxmlformats.org/officeDocument/2006/relationships/hyperlink" Target="mailto:example64@email.com" TargetMode="External"/><Relationship Id="rId69" Type="http://schemas.openxmlformats.org/officeDocument/2006/relationships/hyperlink" Target="mailto:example69@email.com" TargetMode="External"/><Relationship Id="rId113" Type="http://schemas.openxmlformats.org/officeDocument/2006/relationships/hyperlink" Target="mailto:example113@email.com" TargetMode="External"/><Relationship Id="rId118" Type="http://schemas.openxmlformats.org/officeDocument/2006/relationships/hyperlink" Target="mailto:example118@email.com" TargetMode="External"/><Relationship Id="rId134" Type="http://schemas.openxmlformats.org/officeDocument/2006/relationships/hyperlink" Target="mailto:example134@email.com" TargetMode="External"/><Relationship Id="rId139" Type="http://schemas.openxmlformats.org/officeDocument/2006/relationships/hyperlink" Target="mailto:example139@email.com" TargetMode="External"/><Relationship Id="rId80" Type="http://schemas.openxmlformats.org/officeDocument/2006/relationships/hyperlink" Target="mailto:example80@email.com" TargetMode="External"/><Relationship Id="rId85" Type="http://schemas.openxmlformats.org/officeDocument/2006/relationships/hyperlink" Target="mailto:example85@email.com" TargetMode="External"/><Relationship Id="rId150" Type="http://schemas.openxmlformats.org/officeDocument/2006/relationships/hyperlink" Target="mailto:example150@email.com" TargetMode="External"/><Relationship Id="rId155" Type="http://schemas.openxmlformats.org/officeDocument/2006/relationships/hyperlink" Target="mailto:example155@email.com" TargetMode="External"/><Relationship Id="rId171" Type="http://schemas.openxmlformats.org/officeDocument/2006/relationships/hyperlink" Target="mailto:example171@email.com" TargetMode="External"/><Relationship Id="rId176" Type="http://schemas.openxmlformats.org/officeDocument/2006/relationships/hyperlink" Target="mailto:example176@email.com" TargetMode="External"/><Relationship Id="rId192" Type="http://schemas.openxmlformats.org/officeDocument/2006/relationships/hyperlink" Target="mailto:example192@email.com" TargetMode="External"/><Relationship Id="rId197" Type="http://schemas.openxmlformats.org/officeDocument/2006/relationships/hyperlink" Target="mailto:example197@email.com" TargetMode="External"/><Relationship Id="rId201" Type="http://schemas.openxmlformats.org/officeDocument/2006/relationships/table" Target="../tables/table1.xml"/><Relationship Id="rId12" Type="http://schemas.openxmlformats.org/officeDocument/2006/relationships/hyperlink" Target="mailto:example12@email.com" TargetMode="External"/><Relationship Id="rId17" Type="http://schemas.openxmlformats.org/officeDocument/2006/relationships/hyperlink" Target="mailto:example17@email.com" TargetMode="External"/><Relationship Id="rId33" Type="http://schemas.openxmlformats.org/officeDocument/2006/relationships/hyperlink" Target="mailto:example33@email.com" TargetMode="External"/><Relationship Id="rId38" Type="http://schemas.openxmlformats.org/officeDocument/2006/relationships/hyperlink" Target="mailto:example38@email.com" TargetMode="External"/><Relationship Id="rId59" Type="http://schemas.openxmlformats.org/officeDocument/2006/relationships/hyperlink" Target="mailto:example59@email.com" TargetMode="External"/><Relationship Id="rId103" Type="http://schemas.openxmlformats.org/officeDocument/2006/relationships/hyperlink" Target="mailto:example103@email.com" TargetMode="External"/><Relationship Id="rId108" Type="http://schemas.openxmlformats.org/officeDocument/2006/relationships/hyperlink" Target="mailto:example108@email.com" TargetMode="External"/><Relationship Id="rId124" Type="http://schemas.openxmlformats.org/officeDocument/2006/relationships/hyperlink" Target="mailto:example124@email.com" TargetMode="External"/><Relationship Id="rId129" Type="http://schemas.openxmlformats.org/officeDocument/2006/relationships/hyperlink" Target="mailto:example129@email.com" TargetMode="External"/><Relationship Id="rId54" Type="http://schemas.openxmlformats.org/officeDocument/2006/relationships/hyperlink" Target="mailto:example54@email.com" TargetMode="External"/><Relationship Id="rId70" Type="http://schemas.openxmlformats.org/officeDocument/2006/relationships/hyperlink" Target="mailto:example70@email.com" TargetMode="External"/><Relationship Id="rId75" Type="http://schemas.openxmlformats.org/officeDocument/2006/relationships/hyperlink" Target="mailto:example75@email.com" TargetMode="External"/><Relationship Id="rId91" Type="http://schemas.openxmlformats.org/officeDocument/2006/relationships/hyperlink" Target="mailto:example91@email.com" TargetMode="External"/><Relationship Id="rId96" Type="http://schemas.openxmlformats.org/officeDocument/2006/relationships/hyperlink" Target="mailto:example96@email.com" TargetMode="External"/><Relationship Id="rId140" Type="http://schemas.openxmlformats.org/officeDocument/2006/relationships/hyperlink" Target="mailto:example140@email.com" TargetMode="External"/><Relationship Id="rId145" Type="http://schemas.openxmlformats.org/officeDocument/2006/relationships/hyperlink" Target="mailto:example145@email.com" TargetMode="External"/><Relationship Id="rId161" Type="http://schemas.openxmlformats.org/officeDocument/2006/relationships/hyperlink" Target="mailto:example161@email.com" TargetMode="External"/><Relationship Id="rId166" Type="http://schemas.openxmlformats.org/officeDocument/2006/relationships/hyperlink" Target="mailto:example166@email.com" TargetMode="External"/><Relationship Id="rId182" Type="http://schemas.openxmlformats.org/officeDocument/2006/relationships/hyperlink" Target="mailto:example182@email.com" TargetMode="External"/><Relationship Id="rId187" Type="http://schemas.openxmlformats.org/officeDocument/2006/relationships/hyperlink" Target="mailto:example187@email.com" TargetMode="External"/><Relationship Id="rId1" Type="http://schemas.openxmlformats.org/officeDocument/2006/relationships/hyperlink" Target="mailto:example1@email.com" TargetMode="External"/><Relationship Id="rId6" Type="http://schemas.openxmlformats.org/officeDocument/2006/relationships/hyperlink" Target="mailto:example6@email.com" TargetMode="External"/><Relationship Id="rId23" Type="http://schemas.openxmlformats.org/officeDocument/2006/relationships/hyperlink" Target="mailto:example23@email.com" TargetMode="External"/><Relationship Id="rId28" Type="http://schemas.openxmlformats.org/officeDocument/2006/relationships/hyperlink" Target="mailto:example28@email.com" TargetMode="External"/><Relationship Id="rId49" Type="http://schemas.openxmlformats.org/officeDocument/2006/relationships/hyperlink" Target="mailto:example49@email.com" TargetMode="External"/><Relationship Id="rId114" Type="http://schemas.openxmlformats.org/officeDocument/2006/relationships/hyperlink" Target="mailto:example114@email.com" TargetMode="External"/><Relationship Id="rId119" Type="http://schemas.openxmlformats.org/officeDocument/2006/relationships/hyperlink" Target="mailto:example119@email.com" TargetMode="External"/><Relationship Id="rId44" Type="http://schemas.openxmlformats.org/officeDocument/2006/relationships/hyperlink" Target="mailto:example44@email.com" TargetMode="External"/><Relationship Id="rId60" Type="http://schemas.openxmlformats.org/officeDocument/2006/relationships/hyperlink" Target="mailto:example60@email.com" TargetMode="External"/><Relationship Id="rId65" Type="http://schemas.openxmlformats.org/officeDocument/2006/relationships/hyperlink" Target="mailto:example65@email.com" TargetMode="External"/><Relationship Id="rId81" Type="http://schemas.openxmlformats.org/officeDocument/2006/relationships/hyperlink" Target="mailto:example81@email.com" TargetMode="External"/><Relationship Id="rId86" Type="http://schemas.openxmlformats.org/officeDocument/2006/relationships/hyperlink" Target="mailto:example86@email.com" TargetMode="External"/><Relationship Id="rId130" Type="http://schemas.openxmlformats.org/officeDocument/2006/relationships/hyperlink" Target="mailto:example130@email.com" TargetMode="External"/><Relationship Id="rId135" Type="http://schemas.openxmlformats.org/officeDocument/2006/relationships/hyperlink" Target="mailto:example135@email.com" TargetMode="External"/><Relationship Id="rId151" Type="http://schemas.openxmlformats.org/officeDocument/2006/relationships/hyperlink" Target="mailto:example151@email.com" TargetMode="External"/><Relationship Id="rId156" Type="http://schemas.openxmlformats.org/officeDocument/2006/relationships/hyperlink" Target="mailto:example156@email.com" TargetMode="External"/><Relationship Id="rId177" Type="http://schemas.openxmlformats.org/officeDocument/2006/relationships/hyperlink" Target="mailto:example177@email.com" TargetMode="External"/><Relationship Id="rId198" Type="http://schemas.openxmlformats.org/officeDocument/2006/relationships/hyperlink" Target="mailto:example198@email.com" TargetMode="External"/><Relationship Id="rId172" Type="http://schemas.openxmlformats.org/officeDocument/2006/relationships/hyperlink" Target="mailto:example172@email.com" TargetMode="External"/><Relationship Id="rId193" Type="http://schemas.openxmlformats.org/officeDocument/2006/relationships/hyperlink" Target="mailto:example193@email.com" TargetMode="External"/><Relationship Id="rId13" Type="http://schemas.openxmlformats.org/officeDocument/2006/relationships/hyperlink" Target="mailto:example13@email.com" TargetMode="External"/><Relationship Id="rId18" Type="http://schemas.openxmlformats.org/officeDocument/2006/relationships/hyperlink" Target="mailto:example18@email.com" TargetMode="External"/><Relationship Id="rId39" Type="http://schemas.openxmlformats.org/officeDocument/2006/relationships/hyperlink" Target="mailto:example39@email.com" TargetMode="External"/><Relationship Id="rId109" Type="http://schemas.openxmlformats.org/officeDocument/2006/relationships/hyperlink" Target="mailto:example109@email.com" TargetMode="External"/><Relationship Id="rId34" Type="http://schemas.openxmlformats.org/officeDocument/2006/relationships/hyperlink" Target="mailto:example34@email.com" TargetMode="External"/><Relationship Id="rId50" Type="http://schemas.openxmlformats.org/officeDocument/2006/relationships/hyperlink" Target="mailto:example50@email.com" TargetMode="External"/><Relationship Id="rId55" Type="http://schemas.openxmlformats.org/officeDocument/2006/relationships/hyperlink" Target="mailto:example55@email.com" TargetMode="External"/><Relationship Id="rId76" Type="http://schemas.openxmlformats.org/officeDocument/2006/relationships/hyperlink" Target="mailto:example76@email.com" TargetMode="External"/><Relationship Id="rId97" Type="http://schemas.openxmlformats.org/officeDocument/2006/relationships/hyperlink" Target="mailto:example97@email.com" TargetMode="External"/><Relationship Id="rId104" Type="http://schemas.openxmlformats.org/officeDocument/2006/relationships/hyperlink" Target="mailto:example104@email.com" TargetMode="External"/><Relationship Id="rId120" Type="http://schemas.openxmlformats.org/officeDocument/2006/relationships/hyperlink" Target="mailto:example120@email.com" TargetMode="External"/><Relationship Id="rId125" Type="http://schemas.openxmlformats.org/officeDocument/2006/relationships/hyperlink" Target="mailto:example125@email.com" TargetMode="External"/><Relationship Id="rId141" Type="http://schemas.openxmlformats.org/officeDocument/2006/relationships/hyperlink" Target="mailto:example141@email.com" TargetMode="External"/><Relationship Id="rId146" Type="http://schemas.openxmlformats.org/officeDocument/2006/relationships/hyperlink" Target="mailto:example146@email.com" TargetMode="External"/><Relationship Id="rId167" Type="http://schemas.openxmlformats.org/officeDocument/2006/relationships/hyperlink" Target="mailto:example167@email.com" TargetMode="External"/><Relationship Id="rId188" Type="http://schemas.openxmlformats.org/officeDocument/2006/relationships/hyperlink" Target="mailto:example188@email.com" TargetMode="External"/><Relationship Id="rId7" Type="http://schemas.openxmlformats.org/officeDocument/2006/relationships/hyperlink" Target="mailto:example7@email.com" TargetMode="External"/><Relationship Id="rId71" Type="http://schemas.openxmlformats.org/officeDocument/2006/relationships/hyperlink" Target="mailto:example71@email.com" TargetMode="External"/><Relationship Id="rId92" Type="http://schemas.openxmlformats.org/officeDocument/2006/relationships/hyperlink" Target="mailto:example92@email.com" TargetMode="External"/><Relationship Id="rId162" Type="http://schemas.openxmlformats.org/officeDocument/2006/relationships/hyperlink" Target="mailto:example162@email.com" TargetMode="External"/><Relationship Id="rId183" Type="http://schemas.openxmlformats.org/officeDocument/2006/relationships/hyperlink" Target="mailto:example183@email.com" TargetMode="External"/><Relationship Id="rId2" Type="http://schemas.openxmlformats.org/officeDocument/2006/relationships/hyperlink" Target="mailto:example2@email.com" TargetMode="External"/><Relationship Id="rId29" Type="http://schemas.openxmlformats.org/officeDocument/2006/relationships/hyperlink" Target="mailto:example29@email.com" TargetMode="External"/><Relationship Id="rId24" Type="http://schemas.openxmlformats.org/officeDocument/2006/relationships/hyperlink" Target="mailto:example24@email.com" TargetMode="External"/><Relationship Id="rId40" Type="http://schemas.openxmlformats.org/officeDocument/2006/relationships/hyperlink" Target="mailto:example40@email.com" TargetMode="External"/><Relationship Id="rId45" Type="http://schemas.openxmlformats.org/officeDocument/2006/relationships/hyperlink" Target="mailto:example45@email.com" TargetMode="External"/><Relationship Id="rId66" Type="http://schemas.openxmlformats.org/officeDocument/2006/relationships/hyperlink" Target="mailto:example66@email.com" TargetMode="External"/><Relationship Id="rId87" Type="http://schemas.openxmlformats.org/officeDocument/2006/relationships/hyperlink" Target="mailto:example87@email.com" TargetMode="External"/><Relationship Id="rId110" Type="http://schemas.openxmlformats.org/officeDocument/2006/relationships/hyperlink" Target="mailto:example110@email.com" TargetMode="External"/><Relationship Id="rId115" Type="http://schemas.openxmlformats.org/officeDocument/2006/relationships/hyperlink" Target="mailto:example115@email.com" TargetMode="External"/><Relationship Id="rId131" Type="http://schemas.openxmlformats.org/officeDocument/2006/relationships/hyperlink" Target="mailto:example131@email.com" TargetMode="External"/><Relationship Id="rId136" Type="http://schemas.openxmlformats.org/officeDocument/2006/relationships/hyperlink" Target="mailto:example136@email.com" TargetMode="External"/><Relationship Id="rId157" Type="http://schemas.openxmlformats.org/officeDocument/2006/relationships/hyperlink" Target="mailto:example157@email.com" TargetMode="External"/><Relationship Id="rId178" Type="http://schemas.openxmlformats.org/officeDocument/2006/relationships/hyperlink" Target="mailto:example178@email.com" TargetMode="External"/><Relationship Id="rId61" Type="http://schemas.openxmlformats.org/officeDocument/2006/relationships/hyperlink" Target="mailto:example61@email.com" TargetMode="External"/><Relationship Id="rId82" Type="http://schemas.openxmlformats.org/officeDocument/2006/relationships/hyperlink" Target="mailto:example82@email.com" TargetMode="External"/><Relationship Id="rId152" Type="http://schemas.openxmlformats.org/officeDocument/2006/relationships/hyperlink" Target="mailto:example152@email.com" TargetMode="External"/><Relationship Id="rId173" Type="http://schemas.openxmlformats.org/officeDocument/2006/relationships/hyperlink" Target="mailto:example173@email.com" TargetMode="External"/><Relationship Id="rId194" Type="http://schemas.openxmlformats.org/officeDocument/2006/relationships/hyperlink" Target="mailto:example194@email.com" TargetMode="External"/><Relationship Id="rId199" Type="http://schemas.openxmlformats.org/officeDocument/2006/relationships/hyperlink" Target="mailto:example199@email.com" TargetMode="External"/><Relationship Id="rId19" Type="http://schemas.openxmlformats.org/officeDocument/2006/relationships/hyperlink" Target="mailto:example19@email.com" TargetMode="External"/><Relationship Id="rId14" Type="http://schemas.openxmlformats.org/officeDocument/2006/relationships/hyperlink" Target="mailto:example14@email.com" TargetMode="External"/><Relationship Id="rId30" Type="http://schemas.openxmlformats.org/officeDocument/2006/relationships/hyperlink" Target="mailto:example30@email.com" TargetMode="External"/><Relationship Id="rId35" Type="http://schemas.openxmlformats.org/officeDocument/2006/relationships/hyperlink" Target="mailto:example35@email.com" TargetMode="External"/><Relationship Id="rId56" Type="http://schemas.openxmlformats.org/officeDocument/2006/relationships/hyperlink" Target="mailto:example56@email.com" TargetMode="External"/><Relationship Id="rId77" Type="http://schemas.openxmlformats.org/officeDocument/2006/relationships/hyperlink" Target="mailto:example77@email.com" TargetMode="External"/><Relationship Id="rId100" Type="http://schemas.openxmlformats.org/officeDocument/2006/relationships/hyperlink" Target="mailto:example100@email.com" TargetMode="External"/><Relationship Id="rId105" Type="http://schemas.openxmlformats.org/officeDocument/2006/relationships/hyperlink" Target="mailto:example105@email.com" TargetMode="External"/><Relationship Id="rId126" Type="http://schemas.openxmlformats.org/officeDocument/2006/relationships/hyperlink" Target="mailto:example126@email.com" TargetMode="External"/><Relationship Id="rId147" Type="http://schemas.openxmlformats.org/officeDocument/2006/relationships/hyperlink" Target="mailto:example147@email.com" TargetMode="External"/><Relationship Id="rId168" Type="http://schemas.openxmlformats.org/officeDocument/2006/relationships/hyperlink" Target="mailto:example168@email.com" TargetMode="External"/><Relationship Id="rId8" Type="http://schemas.openxmlformats.org/officeDocument/2006/relationships/hyperlink" Target="mailto:example8@email.com" TargetMode="External"/><Relationship Id="rId51" Type="http://schemas.openxmlformats.org/officeDocument/2006/relationships/hyperlink" Target="mailto:example51@email.com" TargetMode="External"/><Relationship Id="rId72" Type="http://schemas.openxmlformats.org/officeDocument/2006/relationships/hyperlink" Target="mailto:example72@email.com" TargetMode="External"/><Relationship Id="rId93" Type="http://schemas.openxmlformats.org/officeDocument/2006/relationships/hyperlink" Target="mailto:example93@email.com" TargetMode="External"/><Relationship Id="rId98" Type="http://schemas.openxmlformats.org/officeDocument/2006/relationships/hyperlink" Target="mailto:example98@email.com" TargetMode="External"/><Relationship Id="rId121" Type="http://schemas.openxmlformats.org/officeDocument/2006/relationships/hyperlink" Target="mailto:example121@email.com" TargetMode="External"/><Relationship Id="rId142" Type="http://schemas.openxmlformats.org/officeDocument/2006/relationships/hyperlink" Target="mailto:example142@email.com" TargetMode="External"/><Relationship Id="rId163" Type="http://schemas.openxmlformats.org/officeDocument/2006/relationships/hyperlink" Target="mailto:example163@email.com" TargetMode="External"/><Relationship Id="rId184" Type="http://schemas.openxmlformats.org/officeDocument/2006/relationships/hyperlink" Target="mailto:example184@email.com" TargetMode="External"/><Relationship Id="rId189" Type="http://schemas.openxmlformats.org/officeDocument/2006/relationships/hyperlink" Target="mailto:example189@email.com" TargetMode="External"/><Relationship Id="rId3" Type="http://schemas.openxmlformats.org/officeDocument/2006/relationships/hyperlink" Target="mailto:example3@email.com" TargetMode="External"/><Relationship Id="rId25" Type="http://schemas.openxmlformats.org/officeDocument/2006/relationships/hyperlink" Target="mailto:example25@email.com" TargetMode="External"/><Relationship Id="rId46" Type="http://schemas.openxmlformats.org/officeDocument/2006/relationships/hyperlink" Target="mailto:example46@email.com" TargetMode="External"/><Relationship Id="rId67" Type="http://schemas.openxmlformats.org/officeDocument/2006/relationships/hyperlink" Target="mailto:example67@email.com" TargetMode="External"/><Relationship Id="rId116" Type="http://schemas.openxmlformats.org/officeDocument/2006/relationships/hyperlink" Target="mailto:example116@email.com" TargetMode="External"/><Relationship Id="rId137" Type="http://schemas.openxmlformats.org/officeDocument/2006/relationships/hyperlink" Target="mailto:example137@email.com" TargetMode="External"/><Relationship Id="rId158" Type="http://schemas.openxmlformats.org/officeDocument/2006/relationships/hyperlink" Target="mailto:example158@email.com" TargetMode="External"/><Relationship Id="rId20" Type="http://schemas.openxmlformats.org/officeDocument/2006/relationships/hyperlink" Target="mailto:example20@email.com" TargetMode="External"/><Relationship Id="rId41" Type="http://schemas.openxmlformats.org/officeDocument/2006/relationships/hyperlink" Target="mailto:example41@email.com" TargetMode="External"/><Relationship Id="rId62" Type="http://schemas.openxmlformats.org/officeDocument/2006/relationships/hyperlink" Target="mailto:example62@email.com" TargetMode="External"/><Relationship Id="rId83" Type="http://schemas.openxmlformats.org/officeDocument/2006/relationships/hyperlink" Target="mailto:example83@email.com" TargetMode="External"/><Relationship Id="rId88" Type="http://schemas.openxmlformats.org/officeDocument/2006/relationships/hyperlink" Target="mailto:example88@email.com" TargetMode="External"/><Relationship Id="rId111" Type="http://schemas.openxmlformats.org/officeDocument/2006/relationships/hyperlink" Target="mailto:example111@email.com" TargetMode="External"/><Relationship Id="rId132" Type="http://schemas.openxmlformats.org/officeDocument/2006/relationships/hyperlink" Target="mailto:example132@email.com" TargetMode="External"/><Relationship Id="rId153" Type="http://schemas.openxmlformats.org/officeDocument/2006/relationships/hyperlink" Target="mailto:example153@email.com" TargetMode="External"/><Relationship Id="rId174" Type="http://schemas.openxmlformats.org/officeDocument/2006/relationships/hyperlink" Target="mailto:example174@email.com" TargetMode="External"/><Relationship Id="rId179" Type="http://schemas.openxmlformats.org/officeDocument/2006/relationships/hyperlink" Target="mailto:example179@email.com" TargetMode="External"/><Relationship Id="rId195" Type="http://schemas.openxmlformats.org/officeDocument/2006/relationships/hyperlink" Target="mailto:example195@email.com" TargetMode="External"/><Relationship Id="rId190" Type="http://schemas.openxmlformats.org/officeDocument/2006/relationships/hyperlink" Target="mailto:example190@email.com" TargetMode="External"/><Relationship Id="rId15" Type="http://schemas.openxmlformats.org/officeDocument/2006/relationships/hyperlink" Target="mailto:example15@email.com" TargetMode="External"/><Relationship Id="rId36" Type="http://schemas.openxmlformats.org/officeDocument/2006/relationships/hyperlink" Target="mailto:example36@email.com" TargetMode="External"/><Relationship Id="rId57" Type="http://schemas.openxmlformats.org/officeDocument/2006/relationships/hyperlink" Target="mailto:example57@email.com" TargetMode="External"/><Relationship Id="rId106" Type="http://schemas.openxmlformats.org/officeDocument/2006/relationships/hyperlink" Target="mailto:example106@email.com" TargetMode="External"/><Relationship Id="rId127" Type="http://schemas.openxmlformats.org/officeDocument/2006/relationships/hyperlink" Target="mailto:example127@email.com" TargetMode="External"/><Relationship Id="rId10" Type="http://schemas.openxmlformats.org/officeDocument/2006/relationships/hyperlink" Target="mailto:example10@email.com" TargetMode="External"/><Relationship Id="rId31" Type="http://schemas.openxmlformats.org/officeDocument/2006/relationships/hyperlink" Target="mailto:example31@email.com" TargetMode="External"/><Relationship Id="rId52" Type="http://schemas.openxmlformats.org/officeDocument/2006/relationships/hyperlink" Target="mailto:example52@email.com" TargetMode="External"/><Relationship Id="rId73" Type="http://schemas.openxmlformats.org/officeDocument/2006/relationships/hyperlink" Target="mailto:example73@email.com" TargetMode="External"/><Relationship Id="rId78" Type="http://schemas.openxmlformats.org/officeDocument/2006/relationships/hyperlink" Target="mailto:example78@email.com" TargetMode="External"/><Relationship Id="rId94" Type="http://schemas.openxmlformats.org/officeDocument/2006/relationships/hyperlink" Target="mailto:example94@email.com" TargetMode="External"/><Relationship Id="rId99" Type="http://schemas.openxmlformats.org/officeDocument/2006/relationships/hyperlink" Target="mailto:example99@email.com" TargetMode="External"/><Relationship Id="rId101" Type="http://schemas.openxmlformats.org/officeDocument/2006/relationships/hyperlink" Target="mailto:example101@email.com" TargetMode="External"/><Relationship Id="rId122" Type="http://schemas.openxmlformats.org/officeDocument/2006/relationships/hyperlink" Target="mailto:exampe122@email.com" TargetMode="External"/><Relationship Id="rId143" Type="http://schemas.openxmlformats.org/officeDocument/2006/relationships/hyperlink" Target="mailto:example143@email.com" TargetMode="External"/><Relationship Id="rId148" Type="http://schemas.openxmlformats.org/officeDocument/2006/relationships/hyperlink" Target="mailto:example148@email.com" TargetMode="External"/><Relationship Id="rId164" Type="http://schemas.openxmlformats.org/officeDocument/2006/relationships/hyperlink" Target="mailto:example164@email.com" TargetMode="External"/><Relationship Id="rId169" Type="http://schemas.openxmlformats.org/officeDocument/2006/relationships/hyperlink" Target="mailto:example169@email.com" TargetMode="External"/><Relationship Id="rId185" Type="http://schemas.openxmlformats.org/officeDocument/2006/relationships/hyperlink" Target="mailto:example185@email.com" TargetMode="External"/><Relationship Id="rId4" Type="http://schemas.openxmlformats.org/officeDocument/2006/relationships/hyperlink" Target="mailto:example4@email.com" TargetMode="External"/><Relationship Id="rId9" Type="http://schemas.openxmlformats.org/officeDocument/2006/relationships/hyperlink" Target="mailto:example9@email.com" TargetMode="External"/><Relationship Id="rId180" Type="http://schemas.openxmlformats.org/officeDocument/2006/relationships/hyperlink" Target="mailto:example180@email.com" TargetMode="External"/><Relationship Id="rId26" Type="http://schemas.openxmlformats.org/officeDocument/2006/relationships/hyperlink" Target="mailto:example26@email.com" TargetMode="External"/><Relationship Id="rId47" Type="http://schemas.openxmlformats.org/officeDocument/2006/relationships/hyperlink" Target="mailto:example47@email.com" TargetMode="External"/><Relationship Id="rId68" Type="http://schemas.openxmlformats.org/officeDocument/2006/relationships/hyperlink" Target="mailto:example68@email.com" TargetMode="External"/><Relationship Id="rId89" Type="http://schemas.openxmlformats.org/officeDocument/2006/relationships/hyperlink" Target="mailto:example89@email.com" TargetMode="External"/><Relationship Id="rId112" Type="http://schemas.openxmlformats.org/officeDocument/2006/relationships/hyperlink" Target="mailto:exampe112@email.com" TargetMode="External"/><Relationship Id="rId133" Type="http://schemas.openxmlformats.org/officeDocument/2006/relationships/hyperlink" Target="mailto:example133@email.com" TargetMode="External"/><Relationship Id="rId154" Type="http://schemas.openxmlformats.org/officeDocument/2006/relationships/hyperlink" Target="mailto:example154@email.com" TargetMode="External"/><Relationship Id="rId175" Type="http://schemas.openxmlformats.org/officeDocument/2006/relationships/hyperlink" Target="mailto:example175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3B7F-6EA5-4A65-826D-36ED19947949}">
  <sheetPr>
    <tabColor rgb="FFFFC000"/>
  </sheetPr>
  <dimension ref="A1:O202"/>
  <sheetViews>
    <sheetView workbookViewId="0"/>
  </sheetViews>
  <sheetFormatPr defaultRowHeight="15"/>
  <cols>
    <col min="1" max="1" width="21.28515625" customWidth="1"/>
    <col min="2" max="2" width="12.140625" customWidth="1"/>
    <col min="3" max="3" width="11.42578125" bestFit="1" customWidth="1"/>
    <col min="4" max="4" width="24.5703125" bestFit="1" customWidth="1"/>
    <col min="5" max="5" width="20.7109375" customWidth="1"/>
    <col min="6" max="6" width="13.7109375" customWidth="1"/>
    <col min="7" max="7" width="13.7109375" bestFit="1" customWidth="1"/>
    <col min="8" max="8" width="29.85546875" customWidth="1"/>
    <col min="9" max="9" width="26" customWidth="1"/>
    <col min="10" max="10" width="17.7109375" customWidth="1"/>
    <col min="11" max="11" width="18.140625" customWidth="1"/>
    <col min="12" max="12" width="21" customWidth="1"/>
    <col min="13" max="13" width="20" bestFit="1" customWidth="1"/>
    <col min="14" max="14" width="20.85546875" customWidth="1"/>
    <col min="15" max="15" width="22.42578125" customWidth="1"/>
  </cols>
  <sheetData>
    <row r="1" spans="1:15" ht="30">
      <c r="A1" s="12" t="s">
        <v>622</v>
      </c>
      <c r="B1" s="9" t="s">
        <v>621</v>
      </c>
      <c r="C1" s="9" t="s">
        <v>620</v>
      </c>
      <c r="D1" s="9" t="s">
        <v>619</v>
      </c>
      <c r="E1" s="9" t="s">
        <v>618</v>
      </c>
      <c r="F1" s="9" t="s">
        <v>617</v>
      </c>
      <c r="G1" s="11" t="s">
        <v>616</v>
      </c>
      <c r="H1" s="9" t="s">
        <v>615</v>
      </c>
      <c r="I1" s="9" t="s">
        <v>614</v>
      </c>
      <c r="J1" s="10" t="s">
        <v>613</v>
      </c>
      <c r="K1" s="10" t="s">
        <v>629</v>
      </c>
      <c r="L1" s="9" t="s">
        <v>612</v>
      </c>
      <c r="M1" s="9" t="s">
        <v>611</v>
      </c>
      <c r="N1" s="9" t="s">
        <v>610</v>
      </c>
      <c r="O1" s="8" t="s">
        <v>609</v>
      </c>
    </row>
    <row r="2" spans="1:15">
      <c r="A2" s="7" t="s">
        <v>608</v>
      </c>
      <c r="B2" s="5" t="s">
        <v>13</v>
      </c>
      <c r="C2" s="5">
        <v>90000101</v>
      </c>
      <c r="D2" s="6" t="s">
        <v>607</v>
      </c>
      <c r="E2" s="5" t="s">
        <v>606</v>
      </c>
      <c r="F2" s="5" t="s">
        <v>10</v>
      </c>
      <c r="G2" s="4">
        <v>15</v>
      </c>
      <c r="H2" s="1" t="s">
        <v>9</v>
      </c>
      <c r="I2" t="s">
        <v>2</v>
      </c>
      <c r="J2" s="3">
        <v>45383</v>
      </c>
      <c r="K2" s="3" t="str">
        <f t="shared" ref="K2:K33" si="0">TEXT(J2,"mmm")</f>
        <v>Apr</v>
      </c>
      <c r="L2" s="2">
        <v>5300000</v>
      </c>
      <c r="M2" t="s">
        <v>1</v>
      </c>
      <c r="N2" s="1" t="s">
        <v>0</v>
      </c>
    </row>
    <row r="3" spans="1:15">
      <c r="A3" s="7" t="s">
        <v>605</v>
      </c>
      <c r="B3" s="5" t="s">
        <v>7</v>
      </c>
      <c r="C3" s="5">
        <v>90000102</v>
      </c>
      <c r="D3" s="6" t="s">
        <v>604</v>
      </c>
      <c r="E3" s="5" t="s">
        <v>603</v>
      </c>
      <c r="F3" s="5" t="s">
        <v>4</v>
      </c>
      <c r="G3" s="4">
        <v>5</v>
      </c>
      <c r="H3" s="1" t="s">
        <v>3</v>
      </c>
      <c r="I3" t="s">
        <v>2</v>
      </c>
      <c r="J3" s="3">
        <v>45384</v>
      </c>
      <c r="K3" s="3" t="str">
        <f t="shared" si="0"/>
        <v>Apr</v>
      </c>
      <c r="L3" s="2">
        <v>5600000</v>
      </c>
      <c r="M3" t="s">
        <v>1</v>
      </c>
      <c r="N3" s="1" t="s">
        <v>0</v>
      </c>
    </row>
    <row r="4" spans="1:15">
      <c r="A4" s="7" t="s">
        <v>602</v>
      </c>
      <c r="B4" s="5" t="s">
        <v>13</v>
      </c>
      <c r="C4" s="5">
        <v>90000103</v>
      </c>
      <c r="D4" s="6" t="s">
        <v>601</v>
      </c>
      <c r="E4" s="5" t="s">
        <v>600</v>
      </c>
      <c r="F4" s="5" t="s">
        <v>10</v>
      </c>
      <c r="G4" s="4">
        <v>1</v>
      </c>
      <c r="H4" s="1" t="s">
        <v>9</v>
      </c>
      <c r="I4" t="s">
        <v>2</v>
      </c>
      <c r="J4" s="3">
        <v>45385</v>
      </c>
      <c r="K4" s="3" t="str">
        <f t="shared" si="0"/>
        <v>Apr</v>
      </c>
      <c r="L4" s="2">
        <v>6200000</v>
      </c>
      <c r="M4" t="s">
        <v>1</v>
      </c>
      <c r="N4" s="1" t="s">
        <v>0</v>
      </c>
    </row>
    <row r="5" spans="1:15">
      <c r="A5" s="7" t="s">
        <v>599</v>
      </c>
      <c r="B5" s="5" t="s">
        <v>7</v>
      </c>
      <c r="C5" s="5">
        <v>90000104</v>
      </c>
      <c r="D5" s="6" t="s">
        <v>598</v>
      </c>
      <c r="E5" s="5" t="s">
        <v>597</v>
      </c>
      <c r="F5" s="5" t="s">
        <v>4</v>
      </c>
      <c r="G5" s="4">
        <v>1</v>
      </c>
      <c r="H5" s="1" t="s">
        <v>3</v>
      </c>
      <c r="I5" t="s">
        <v>2</v>
      </c>
      <c r="J5" s="3">
        <v>45386</v>
      </c>
      <c r="K5" s="3" t="str">
        <f t="shared" si="0"/>
        <v>Apr</v>
      </c>
      <c r="L5" s="2">
        <v>7100000</v>
      </c>
      <c r="M5" t="s">
        <v>1</v>
      </c>
      <c r="N5" s="1" t="s">
        <v>0</v>
      </c>
    </row>
    <row r="6" spans="1:15">
      <c r="A6" s="7" t="s">
        <v>596</v>
      </c>
      <c r="B6" s="5" t="s">
        <v>13</v>
      </c>
      <c r="C6" s="5">
        <v>90000105</v>
      </c>
      <c r="D6" s="6" t="s">
        <v>595</v>
      </c>
      <c r="E6" s="5" t="s">
        <v>594</v>
      </c>
      <c r="F6" s="5" t="s">
        <v>10</v>
      </c>
      <c r="G6" s="4">
        <v>1</v>
      </c>
      <c r="H6" s="1" t="s">
        <v>9</v>
      </c>
      <c r="I6" t="s">
        <v>2</v>
      </c>
      <c r="J6" s="3">
        <v>45387</v>
      </c>
      <c r="K6" s="3" t="str">
        <f t="shared" si="0"/>
        <v>Apr</v>
      </c>
      <c r="L6" s="2">
        <v>7550000</v>
      </c>
      <c r="M6" t="s">
        <v>1</v>
      </c>
      <c r="N6" s="1" t="s">
        <v>0</v>
      </c>
    </row>
    <row r="7" spans="1:15">
      <c r="A7" s="7" t="s">
        <v>593</v>
      </c>
      <c r="B7" s="5" t="s">
        <v>7</v>
      </c>
      <c r="C7" s="5">
        <v>90000106</v>
      </c>
      <c r="D7" s="6" t="s">
        <v>592</v>
      </c>
      <c r="E7" s="5" t="s">
        <v>591</v>
      </c>
      <c r="F7" s="5" t="s">
        <v>4</v>
      </c>
      <c r="G7" s="4">
        <v>5</v>
      </c>
      <c r="H7" s="1" t="s">
        <v>3</v>
      </c>
      <c r="I7" t="s">
        <v>2</v>
      </c>
      <c r="J7" s="3">
        <v>45388</v>
      </c>
      <c r="K7" s="3" t="str">
        <f t="shared" si="0"/>
        <v>Apr</v>
      </c>
      <c r="L7" s="2">
        <v>8150000</v>
      </c>
      <c r="M7" t="s">
        <v>1</v>
      </c>
      <c r="N7" s="1" t="s">
        <v>0</v>
      </c>
    </row>
    <row r="8" spans="1:15">
      <c r="A8" s="7" t="s">
        <v>590</v>
      </c>
      <c r="B8" s="5" t="s">
        <v>13</v>
      </c>
      <c r="C8" s="5">
        <v>90000107</v>
      </c>
      <c r="D8" s="6" t="s">
        <v>589</v>
      </c>
      <c r="E8" s="5" t="s">
        <v>588</v>
      </c>
      <c r="F8" s="5" t="s">
        <v>10</v>
      </c>
      <c r="G8" s="4">
        <v>15</v>
      </c>
      <c r="H8" s="1" t="s">
        <v>9</v>
      </c>
      <c r="I8" t="s">
        <v>2</v>
      </c>
      <c r="J8" s="3">
        <v>45389</v>
      </c>
      <c r="K8" s="3" t="str">
        <f t="shared" si="0"/>
        <v>Apr</v>
      </c>
      <c r="L8" s="2">
        <v>8750000</v>
      </c>
      <c r="M8" t="s">
        <v>1</v>
      </c>
      <c r="N8" s="1" t="s">
        <v>0</v>
      </c>
    </row>
    <row r="9" spans="1:15">
      <c r="A9" s="7" t="s">
        <v>587</v>
      </c>
      <c r="B9" s="5" t="s">
        <v>7</v>
      </c>
      <c r="C9" s="5">
        <v>90000108</v>
      </c>
      <c r="D9" s="6" t="s">
        <v>586</v>
      </c>
      <c r="E9" s="5" t="s">
        <v>585</v>
      </c>
      <c r="F9" s="5" t="s">
        <v>4</v>
      </c>
      <c r="G9" s="4">
        <v>2</v>
      </c>
      <c r="H9" s="1" t="s">
        <v>3</v>
      </c>
      <c r="I9" t="s">
        <v>2</v>
      </c>
      <c r="J9" s="3">
        <v>45390</v>
      </c>
      <c r="K9" s="3" t="str">
        <f t="shared" si="0"/>
        <v>Apr</v>
      </c>
      <c r="L9" s="2">
        <v>9350000</v>
      </c>
      <c r="M9" t="s">
        <v>1</v>
      </c>
      <c r="N9" s="1" t="s">
        <v>0</v>
      </c>
    </row>
    <row r="10" spans="1:15">
      <c r="A10" s="7" t="s">
        <v>584</v>
      </c>
      <c r="B10" s="5" t="s">
        <v>13</v>
      </c>
      <c r="C10" s="5">
        <v>90000109</v>
      </c>
      <c r="D10" s="6" t="s">
        <v>583</v>
      </c>
      <c r="E10" s="5" t="s">
        <v>582</v>
      </c>
      <c r="F10" s="5" t="s">
        <v>10</v>
      </c>
      <c r="G10" s="4">
        <v>1</v>
      </c>
      <c r="H10" s="1" t="s">
        <v>9</v>
      </c>
      <c r="I10" t="s">
        <v>2</v>
      </c>
      <c r="J10" s="3">
        <v>45391</v>
      </c>
      <c r="K10" s="3" t="str">
        <f t="shared" si="0"/>
        <v>Apr</v>
      </c>
      <c r="L10" s="2">
        <v>9950000</v>
      </c>
      <c r="M10" t="s">
        <v>1</v>
      </c>
      <c r="N10" s="1" t="s">
        <v>0</v>
      </c>
    </row>
    <row r="11" spans="1:15">
      <c r="A11" s="7" t="s">
        <v>581</v>
      </c>
      <c r="B11" s="5" t="s">
        <v>7</v>
      </c>
      <c r="C11" s="5">
        <v>90000110</v>
      </c>
      <c r="D11" s="6" t="s">
        <v>580</v>
      </c>
      <c r="E11" s="5" t="s">
        <v>579</v>
      </c>
      <c r="F11" s="5" t="s">
        <v>4</v>
      </c>
      <c r="G11" s="4">
        <v>5</v>
      </c>
      <c r="H11" s="1" t="s">
        <v>3</v>
      </c>
      <c r="I11" t="s">
        <v>2</v>
      </c>
      <c r="J11" s="3">
        <v>45392</v>
      </c>
      <c r="K11" s="3" t="str">
        <f t="shared" si="0"/>
        <v>Apr</v>
      </c>
      <c r="L11" s="2">
        <v>10550000</v>
      </c>
      <c r="M11" t="s">
        <v>1</v>
      </c>
      <c r="N11" s="1" t="s">
        <v>0</v>
      </c>
    </row>
    <row r="12" spans="1:15">
      <c r="A12" s="7" t="s">
        <v>578</v>
      </c>
      <c r="B12" s="5" t="s">
        <v>13</v>
      </c>
      <c r="C12" s="5">
        <v>90000111</v>
      </c>
      <c r="D12" s="6" t="s">
        <v>577</v>
      </c>
      <c r="E12" s="5" t="s">
        <v>576</v>
      </c>
      <c r="F12" s="5" t="s">
        <v>10</v>
      </c>
      <c r="G12" s="4">
        <v>10</v>
      </c>
      <c r="H12" s="1" t="s">
        <v>9</v>
      </c>
      <c r="I12" t="s">
        <v>2</v>
      </c>
      <c r="J12" s="3">
        <v>45393</v>
      </c>
      <c r="K12" s="3" t="str">
        <f t="shared" si="0"/>
        <v>Apr</v>
      </c>
      <c r="L12" s="2">
        <v>11150000</v>
      </c>
      <c r="M12" t="s">
        <v>1</v>
      </c>
      <c r="N12" s="1" t="s">
        <v>0</v>
      </c>
    </row>
    <row r="13" spans="1:15">
      <c r="A13" s="7" t="s">
        <v>575</v>
      </c>
      <c r="B13" s="5" t="s">
        <v>7</v>
      </c>
      <c r="C13" s="5">
        <v>90000112</v>
      </c>
      <c r="D13" s="6" t="s">
        <v>574</v>
      </c>
      <c r="E13" s="5" t="s">
        <v>573</v>
      </c>
      <c r="F13" s="5" t="s">
        <v>4</v>
      </c>
      <c r="G13" s="4">
        <v>1</v>
      </c>
      <c r="H13" s="1" t="s">
        <v>3</v>
      </c>
      <c r="I13" t="s">
        <v>2</v>
      </c>
      <c r="J13" s="3">
        <v>45394</v>
      </c>
      <c r="K13" s="3" t="str">
        <f t="shared" si="0"/>
        <v>Apr</v>
      </c>
      <c r="L13" s="2">
        <v>11750000</v>
      </c>
      <c r="M13" t="s">
        <v>1</v>
      </c>
      <c r="N13" s="1" t="s">
        <v>0</v>
      </c>
    </row>
    <row r="14" spans="1:15">
      <c r="A14" s="7" t="s">
        <v>572</v>
      </c>
      <c r="B14" s="5" t="s">
        <v>13</v>
      </c>
      <c r="C14" s="5">
        <v>90000113</v>
      </c>
      <c r="D14" s="6" t="s">
        <v>571</v>
      </c>
      <c r="E14" s="5" t="s">
        <v>570</v>
      </c>
      <c r="F14" s="5" t="s">
        <v>10</v>
      </c>
      <c r="G14" s="4">
        <v>15</v>
      </c>
      <c r="H14" s="1" t="s">
        <v>9</v>
      </c>
      <c r="I14" t="s">
        <v>2</v>
      </c>
      <c r="J14" s="3">
        <v>45395</v>
      </c>
      <c r="K14" s="3" t="str">
        <f t="shared" si="0"/>
        <v>Apr</v>
      </c>
      <c r="L14" s="2">
        <v>12350000</v>
      </c>
      <c r="M14" t="s">
        <v>1</v>
      </c>
      <c r="N14" s="1" t="s">
        <v>0</v>
      </c>
    </row>
    <row r="15" spans="1:15">
      <c r="A15" s="7" t="s">
        <v>569</v>
      </c>
      <c r="B15" s="5" t="s">
        <v>7</v>
      </c>
      <c r="C15" s="5">
        <v>90000114</v>
      </c>
      <c r="D15" s="6" t="s">
        <v>568</v>
      </c>
      <c r="E15" s="5" t="s">
        <v>567</v>
      </c>
      <c r="F15" s="5" t="s">
        <v>4</v>
      </c>
      <c r="G15" s="4">
        <v>5</v>
      </c>
      <c r="H15" s="1" t="s">
        <v>3</v>
      </c>
      <c r="I15" t="s">
        <v>2</v>
      </c>
      <c r="J15" s="3">
        <v>45396</v>
      </c>
      <c r="K15" s="3" t="str">
        <f t="shared" si="0"/>
        <v>Apr</v>
      </c>
      <c r="L15" s="2">
        <v>12950000</v>
      </c>
      <c r="M15" t="s">
        <v>1</v>
      </c>
      <c r="N15" s="1" t="s">
        <v>0</v>
      </c>
    </row>
    <row r="16" spans="1:15">
      <c r="A16" s="7" t="s">
        <v>566</v>
      </c>
      <c r="B16" s="5" t="s">
        <v>13</v>
      </c>
      <c r="C16" s="5">
        <v>90000115</v>
      </c>
      <c r="D16" s="6" t="s">
        <v>565</v>
      </c>
      <c r="E16" s="5" t="s">
        <v>564</v>
      </c>
      <c r="F16" s="5" t="s">
        <v>10</v>
      </c>
      <c r="G16" s="4">
        <v>5</v>
      </c>
      <c r="H16" s="1" t="s">
        <v>9</v>
      </c>
      <c r="I16" t="s">
        <v>2</v>
      </c>
      <c r="J16" s="3">
        <v>45397</v>
      </c>
      <c r="K16" s="3" t="str">
        <f t="shared" si="0"/>
        <v>Apr</v>
      </c>
      <c r="L16" s="2">
        <v>13550000</v>
      </c>
      <c r="M16" t="s">
        <v>1</v>
      </c>
      <c r="N16" s="1" t="s">
        <v>0</v>
      </c>
    </row>
    <row r="17" spans="1:14">
      <c r="A17" s="7" t="s">
        <v>563</v>
      </c>
      <c r="B17" s="5" t="s">
        <v>7</v>
      </c>
      <c r="C17" s="5">
        <v>90000116</v>
      </c>
      <c r="D17" s="6" t="s">
        <v>562</v>
      </c>
      <c r="E17" s="5" t="s">
        <v>561</v>
      </c>
      <c r="F17" s="5" t="s">
        <v>4</v>
      </c>
      <c r="G17" s="4">
        <v>15</v>
      </c>
      <c r="H17" s="1" t="s">
        <v>3</v>
      </c>
      <c r="I17" t="s">
        <v>2</v>
      </c>
      <c r="J17" s="3">
        <v>45398</v>
      </c>
      <c r="K17" s="3" t="str">
        <f t="shared" si="0"/>
        <v>Apr</v>
      </c>
      <c r="L17" s="2">
        <v>14150000</v>
      </c>
      <c r="M17" t="s">
        <v>1</v>
      </c>
      <c r="N17" s="1" t="s">
        <v>0</v>
      </c>
    </row>
    <row r="18" spans="1:14">
      <c r="A18" s="7" t="s">
        <v>560</v>
      </c>
      <c r="B18" s="5" t="s">
        <v>13</v>
      </c>
      <c r="C18" s="5">
        <v>90000117</v>
      </c>
      <c r="D18" s="6" t="s">
        <v>559</v>
      </c>
      <c r="E18" s="5" t="s">
        <v>558</v>
      </c>
      <c r="F18" s="5" t="s">
        <v>10</v>
      </c>
      <c r="G18" s="4">
        <v>15</v>
      </c>
      <c r="H18" s="1" t="s">
        <v>9</v>
      </c>
      <c r="I18" t="s">
        <v>2</v>
      </c>
      <c r="J18" s="3">
        <v>45399</v>
      </c>
      <c r="K18" s="3" t="str">
        <f t="shared" si="0"/>
        <v>Apr</v>
      </c>
      <c r="L18" s="2">
        <v>14750000</v>
      </c>
      <c r="M18" t="s">
        <v>1</v>
      </c>
      <c r="N18" s="1" t="s">
        <v>0</v>
      </c>
    </row>
    <row r="19" spans="1:14">
      <c r="A19" s="7" t="s">
        <v>557</v>
      </c>
      <c r="B19" s="5" t="s">
        <v>7</v>
      </c>
      <c r="C19" s="5">
        <v>90000118</v>
      </c>
      <c r="D19" s="6" t="s">
        <v>556</v>
      </c>
      <c r="E19" s="5" t="s">
        <v>555</v>
      </c>
      <c r="F19" s="5" t="s">
        <v>4</v>
      </c>
      <c r="G19" s="4">
        <v>2</v>
      </c>
      <c r="H19" s="1" t="s">
        <v>3</v>
      </c>
      <c r="I19" t="s">
        <v>2</v>
      </c>
      <c r="J19" s="3">
        <v>45400</v>
      </c>
      <c r="K19" s="3" t="str">
        <f t="shared" si="0"/>
        <v>Apr</v>
      </c>
      <c r="L19" s="2">
        <v>15350000</v>
      </c>
      <c r="M19" t="s">
        <v>1</v>
      </c>
      <c r="N19" s="1" t="s">
        <v>0</v>
      </c>
    </row>
    <row r="20" spans="1:14">
      <c r="A20" s="7" t="s">
        <v>554</v>
      </c>
      <c r="B20" s="5" t="s">
        <v>13</v>
      </c>
      <c r="C20" s="5">
        <v>90000119</v>
      </c>
      <c r="D20" s="6" t="s">
        <v>553</v>
      </c>
      <c r="E20" s="5" t="s">
        <v>552</v>
      </c>
      <c r="F20" s="5" t="s">
        <v>10</v>
      </c>
      <c r="G20" s="4">
        <v>2</v>
      </c>
      <c r="H20" s="1" t="s">
        <v>9</v>
      </c>
      <c r="I20" t="s">
        <v>2</v>
      </c>
      <c r="J20" s="3">
        <v>45401</v>
      </c>
      <c r="K20" s="3" t="str">
        <f t="shared" si="0"/>
        <v>Apr</v>
      </c>
      <c r="L20" s="2">
        <v>15950000</v>
      </c>
      <c r="M20" t="s">
        <v>1</v>
      </c>
      <c r="N20" s="1" t="s">
        <v>0</v>
      </c>
    </row>
    <row r="21" spans="1:14">
      <c r="A21" s="7" t="s">
        <v>551</v>
      </c>
      <c r="B21" s="5" t="s">
        <v>7</v>
      </c>
      <c r="C21" s="5">
        <v>90000120</v>
      </c>
      <c r="D21" s="6" t="s">
        <v>550</v>
      </c>
      <c r="E21" s="5" t="s">
        <v>549</v>
      </c>
      <c r="F21" s="5" t="s">
        <v>4</v>
      </c>
      <c r="G21" s="4">
        <v>10</v>
      </c>
      <c r="H21" s="1" t="s">
        <v>3</v>
      </c>
      <c r="I21" t="s">
        <v>2</v>
      </c>
      <c r="J21" s="3">
        <v>45402</v>
      </c>
      <c r="K21" s="3" t="str">
        <f t="shared" si="0"/>
        <v>Apr</v>
      </c>
      <c r="L21" s="2">
        <v>16550000</v>
      </c>
      <c r="M21" t="s">
        <v>1</v>
      </c>
      <c r="N21" s="1" t="s">
        <v>0</v>
      </c>
    </row>
    <row r="22" spans="1:14">
      <c r="A22" s="7" t="s">
        <v>548</v>
      </c>
      <c r="B22" s="5" t="s">
        <v>13</v>
      </c>
      <c r="C22" s="5">
        <v>90000121</v>
      </c>
      <c r="D22" s="6" t="s">
        <v>547</v>
      </c>
      <c r="E22" s="5" t="s">
        <v>546</v>
      </c>
      <c r="F22" s="5" t="s">
        <v>10</v>
      </c>
      <c r="G22" s="4">
        <v>1</v>
      </c>
      <c r="H22" s="1" t="s">
        <v>9</v>
      </c>
      <c r="I22" t="s">
        <v>2</v>
      </c>
      <c r="J22" s="3">
        <v>45403</v>
      </c>
      <c r="K22" s="3" t="str">
        <f t="shared" si="0"/>
        <v>Apr</v>
      </c>
      <c r="L22" s="2">
        <v>17150000</v>
      </c>
      <c r="M22" t="s">
        <v>1</v>
      </c>
      <c r="N22" s="1" t="s">
        <v>0</v>
      </c>
    </row>
    <row r="23" spans="1:14">
      <c r="A23" s="7" t="s">
        <v>545</v>
      </c>
      <c r="B23" s="5" t="s">
        <v>7</v>
      </c>
      <c r="C23" s="5">
        <v>90000122</v>
      </c>
      <c r="D23" s="6" t="s">
        <v>544</v>
      </c>
      <c r="E23" s="5" t="s">
        <v>543</v>
      </c>
      <c r="F23" s="5" t="s">
        <v>4</v>
      </c>
      <c r="G23" s="4">
        <v>5</v>
      </c>
      <c r="H23" s="1" t="s">
        <v>3</v>
      </c>
      <c r="I23" t="s">
        <v>2</v>
      </c>
      <c r="J23" s="3">
        <v>45404</v>
      </c>
      <c r="K23" s="3" t="str">
        <f t="shared" si="0"/>
        <v>Apr</v>
      </c>
      <c r="L23" s="2">
        <v>17750000</v>
      </c>
      <c r="M23" t="s">
        <v>1</v>
      </c>
      <c r="N23" s="1" t="s">
        <v>0</v>
      </c>
    </row>
    <row r="24" spans="1:14">
      <c r="A24" s="7" t="s">
        <v>542</v>
      </c>
      <c r="B24" s="5" t="s">
        <v>13</v>
      </c>
      <c r="C24" s="5">
        <v>90000123</v>
      </c>
      <c r="D24" s="6" t="s">
        <v>541</v>
      </c>
      <c r="E24" s="5" t="s">
        <v>540</v>
      </c>
      <c r="F24" s="5" t="s">
        <v>10</v>
      </c>
      <c r="G24" s="4">
        <v>10</v>
      </c>
      <c r="H24" s="1" t="s">
        <v>9</v>
      </c>
      <c r="I24" t="s">
        <v>2</v>
      </c>
      <c r="J24" s="3">
        <v>45405</v>
      </c>
      <c r="K24" s="3" t="str">
        <f t="shared" si="0"/>
        <v>Apr</v>
      </c>
      <c r="L24" s="2">
        <v>18350000</v>
      </c>
      <c r="M24" t="s">
        <v>1</v>
      </c>
      <c r="N24" s="1" t="s">
        <v>0</v>
      </c>
    </row>
    <row r="25" spans="1:14">
      <c r="A25" s="7" t="s">
        <v>539</v>
      </c>
      <c r="B25" s="5" t="s">
        <v>7</v>
      </c>
      <c r="C25" s="5">
        <v>90000124</v>
      </c>
      <c r="D25" s="6" t="s">
        <v>538</v>
      </c>
      <c r="E25" s="5" t="s">
        <v>537</v>
      </c>
      <c r="F25" s="5" t="s">
        <v>4</v>
      </c>
      <c r="G25" s="4">
        <v>10</v>
      </c>
      <c r="H25" s="1" t="s">
        <v>3</v>
      </c>
      <c r="I25" t="s">
        <v>2</v>
      </c>
      <c r="J25" s="3">
        <v>45406</v>
      </c>
      <c r="K25" s="3" t="str">
        <f t="shared" si="0"/>
        <v>Apr</v>
      </c>
      <c r="L25" s="2">
        <v>18950000</v>
      </c>
      <c r="M25" t="s">
        <v>1</v>
      </c>
      <c r="N25" s="1" t="s">
        <v>0</v>
      </c>
    </row>
    <row r="26" spans="1:14">
      <c r="A26" s="7" t="s">
        <v>536</v>
      </c>
      <c r="B26" s="5" t="s">
        <v>13</v>
      </c>
      <c r="C26" s="5">
        <v>90000125</v>
      </c>
      <c r="D26" s="6" t="s">
        <v>535</v>
      </c>
      <c r="E26" s="5" t="s">
        <v>534</v>
      </c>
      <c r="F26" s="5" t="s">
        <v>10</v>
      </c>
      <c r="G26" s="4">
        <v>1</v>
      </c>
      <c r="H26" s="1" t="s">
        <v>9</v>
      </c>
      <c r="I26" t="s">
        <v>2</v>
      </c>
      <c r="J26" s="3">
        <v>45407</v>
      </c>
      <c r="K26" s="3" t="str">
        <f t="shared" si="0"/>
        <v>Apr</v>
      </c>
      <c r="L26" s="2">
        <v>19550000</v>
      </c>
      <c r="M26" t="s">
        <v>1</v>
      </c>
      <c r="N26" s="1" t="s">
        <v>0</v>
      </c>
    </row>
    <row r="27" spans="1:14">
      <c r="A27" s="7" t="s">
        <v>533</v>
      </c>
      <c r="B27" s="5" t="s">
        <v>7</v>
      </c>
      <c r="C27" s="5">
        <v>90000126</v>
      </c>
      <c r="D27" s="6" t="s">
        <v>532</v>
      </c>
      <c r="E27" s="5" t="s">
        <v>531</v>
      </c>
      <c r="F27" s="5" t="s">
        <v>4</v>
      </c>
      <c r="G27" s="4">
        <v>15</v>
      </c>
      <c r="H27" s="1" t="s">
        <v>3</v>
      </c>
      <c r="I27" t="s">
        <v>2</v>
      </c>
      <c r="J27" s="3">
        <v>45408</v>
      </c>
      <c r="K27" s="3" t="str">
        <f t="shared" si="0"/>
        <v>Apr</v>
      </c>
      <c r="L27" s="2">
        <v>20150000</v>
      </c>
      <c r="M27" t="s">
        <v>1</v>
      </c>
      <c r="N27" s="1" t="s">
        <v>0</v>
      </c>
    </row>
    <row r="28" spans="1:14">
      <c r="A28" s="7" t="s">
        <v>530</v>
      </c>
      <c r="B28" s="5" t="s">
        <v>13</v>
      </c>
      <c r="C28" s="5">
        <v>90000127</v>
      </c>
      <c r="D28" s="6" t="s">
        <v>529</v>
      </c>
      <c r="E28" s="5" t="s">
        <v>528</v>
      </c>
      <c r="F28" s="5" t="s">
        <v>10</v>
      </c>
      <c r="G28" s="4">
        <v>10</v>
      </c>
      <c r="H28" s="1" t="s">
        <v>9</v>
      </c>
      <c r="I28" t="s">
        <v>2</v>
      </c>
      <c r="J28" s="3">
        <v>45409</v>
      </c>
      <c r="K28" s="3" t="str">
        <f t="shared" si="0"/>
        <v>Apr</v>
      </c>
      <c r="L28" s="2">
        <v>20750000</v>
      </c>
      <c r="M28" t="s">
        <v>1</v>
      </c>
      <c r="N28" s="1" t="s">
        <v>0</v>
      </c>
    </row>
    <row r="29" spans="1:14">
      <c r="A29" s="7" t="s">
        <v>527</v>
      </c>
      <c r="B29" s="5" t="s">
        <v>7</v>
      </c>
      <c r="C29" s="5">
        <v>90000128</v>
      </c>
      <c r="D29" s="6" t="s">
        <v>526</v>
      </c>
      <c r="E29" s="5" t="s">
        <v>525</v>
      </c>
      <c r="F29" s="5" t="s">
        <v>4</v>
      </c>
      <c r="G29" s="4">
        <v>2</v>
      </c>
      <c r="H29" s="1" t="s">
        <v>3</v>
      </c>
      <c r="I29" t="s">
        <v>2</v>
      </c>
      <c r="J29" s="3">
        <v>45410</v>
      </c>
      <c r="K29" s="3" t="str">
        <f t="shared" si="0"/>
        <v>Apr</v>
      </c>
      <c r="L29" s="2">
        <v>21350000</v>
      </c>
      <c r="M29" t="s">
        <v>1</v>
      </c>
      <c r="N29" s="1" t="s">
        <v>0</v>
      </c>
    </row>
    <row r="30" spans="1:14">
      <c r="A30" s="7" t="s">
        <v>524</v>
      </c>
      <c r="B30" s="5" t="s">
        <v>13</v>
      </c>
      <c r="C30" s="5">
        <v>90000129</v>
      </c>
      <c r="D30" s="6" t="s">
        <v>523</v>
      </c>
      <c r="E30" s="5" t="s">
        <v>522</v>
      </c>
      <c r="F30" s="5" t="s">
        <v>10</v>
      </c>
      <c r="G30" s="4">
        <v>2</v>
      </c>
      <c r="H30" s="1" t="s">
        <v>9</v>
      </c>
      <c r="I30" t="s">
        <v>2</v>
      </c>
      <c r="J30" s="3">
        <v>45411</v>
      </c>
      <c r="K30" s="3" t="str">
        <f t="shared" si="0"/>
        <v>Apr</v>
      </c>
      <c r="L30" s="2">
        <v>21950000</v>
      </c>
      <c r="M30" t="s">
        <v>1</v>
      </c>
      <c r="N30" s="1" t="s">
        <v>0</v>
      </c>
    </row>
    <row r="31" spans="1:14">
      <c r="A31" s="7" t="s">
        <v>521</v>
      </c>
      <c r="B31" s="5" t="s">
        <v>7</v>
      </c>
      <c r="C31" s="5">
        <v>90000130</v>
      </c>
      <c r="D31" s="6" t="s">
        <v>520</v>
      </c>
      <c r="E31" s="5" t="s">
        <v>519</v>
      </c>
      <c r="F31" s="5" t="s">
        <v>4</v>
      </c>
      <c r="G31" s="4">
        <v>10</v>
      </c>
      <c r="H31" s="1" t="s">
        <v>3</v>
      </c>
      <c r="I31" t="s">
        <v>2</v>
      </c>
      <c r="J31" s="3">
        <v>45412</v>
      </c>
      <c r="K31" s="3" t="str">
        <f t="shared" si="0"/>
        <v>Apr</v>
      </c>
      <c r="L31" s="2">
        <v>22550000</v>
      </c>
      <c r="M31" t="s">
        <v>1</v>
      </c>
      <c r="N31" s="1" t="s">
        <v>0</v>
      </c>
    </row>
    <row r="32" spans="1:14">
      <c r="A32" s="7" t="s">
        <v>518</v>
      </c>
      <c r="B32" s="5" t="s">
        <v>13</v>
      </c>
      <c r="C32" s="5">
        <v>90000131</v>
      </c>
      <c r="D32" s="6" t="s">
        <v>517</v>
      </c>
      <c r="E32" s="5" t="s">
        <v>516</v>
      </c>
      <c r="F32" s="5" t="s">
        <v>10</v>
      </c>
      <c r="G32" s="4">
        <v>15</v>
      </c>
      <c r="H32" s="1" t="s">
        <v>9</v>
      </c>
      <c r="I32" t="s">
        <v>2</v>
      </c>
      <c r="J32" s="3">
        <v>45413</v>
      </c>
      <c r="K32" s="3" t="str">
        <f t="shared" si="0"/>
        <v>May</v>
      </c>
      <c r="L32" s="2">
        <v>23150000</v>
      </c>
      <c r="M32" t="s">
        <v>1</v>
      </c>
      <c r="N32" s="1" t="s">
        <v>0</v>
      </c>
    </row>
    <row r="33" spans="1:14">
      <c r="A33" s="7" t="s">
        <v>515</v>
      </c>
      <c r="B33" s="5" t="s">
        <v>7</v>
      </c>
      <c r="C33" s="5">
        <v>90000132</v>
      </c>
      <c r="D33" s="6" t="s">
        <v>514</v>
      </c>
      <c r="E33" s="5" t="s">
        <v>513</v>
      </c>
      <c r="F33" s="5" t="s">
        <v>4</v>
      </c>
      <c r="G33" s="4">
        <v>1</v>
      </c>
      <c r="H33" s="1" t="s">
        <v>3</v>
      </c>
      <c r="I33" t="s">
        <v>2</v>
      </c>
      <c r="J33" s="3">
        <v>45414</v>
      </c>
      <c r="K33" s="3" t="str">
        <f t="shared" si="0"/>
        <v>May</v>
      </c>
      <c r="L33" s="2">
        <v>23750000</v>
      </c>
      <c r="M33" t="s">
        <v>1</v>
      </c>
      <c r="N33" s="1" t="s">
        <v>0</v>
      </c>
    </row>
    <row r="34" spans="1:14">
      <c r="A34" s="7" t="s">
        <v>512</v>
      </c>
      <c r="B34" s="5" t="s">
        <v>13</v>
      </c>
      <c r="C34" s="5">
        <v>90000133</v>
      </c>
      <c r="D34" s="6" t="s">
        <v>511</v>
      </c>
      <c r="E34" s="5" t="s">
        <v>510</v>
      </c>
      <c r="F34" s="5" t="s">
        <v>10</v>
      </c>
      <c r="G34" s="4">
        <v>5</v>
      </c>
      <c r="H34" s="1" t="s">
        <v>9</v>
      </c>
      <c r="I34" t="s">
        <v>2</v>
      </c>
      <c r="J34" s="3">
        <v>45415</v>
      </c>
      <c r="K34" s="3" t="str">
        <f t="shared" ref="K34:K65" si="1">TEXT(J34,"mmm")</f>
        <v>May</v>
      </c>
      <c r="L34" s="2">
        <v>24350000</v>
      </c>
      <c r="M34" t="s">
        <v>1</v>
      </c>
      <c r="N34" s="1" t="s">
        <v>0</v>
      </c>
    </row>
    <row r="35" spans="1:14">
      <c r="A35" s="7" t="s">
        <v>509</v>
      </c>
      <c r="B35" s="5" t="s">
        <v>7</v>
      </c>
      <c r="C35" s="5">
        <v>90000134</v>
      </c>
      <c r="D35" s="6" t="s">
        <v>508</v>
      </c>
      <c r="E35" s="5" t="s">
        <v>507</v>
      </c>
      <c r="F35" s="5" t="s">
        <v>4</v>
      </c>
      <c r="G35" s="4">
        <v>2</v>
      </c>
      <c r="H35" s="1" t="s">
        <v>3</v>
      </c>
      <c r="I35" t="s">
        <v>2</v>
      </c>
      <c r="J35" s="3">
        <v>45416</v>
      </c>
      <c r="K35" s="3" t="str">
        <f t="shared" si="1"/>
        <v>May</v>
      </c>
      <c r="L35" s="2">
        <v>24950000</v>
      </c>
      <c r="M35" t="s">
        <v>1</v>
      </c>
      <c r="N35" s="1" t="s">
        <v>0</v>
      </c>
    </row>
    <row r="36" spans="1:14">
      <c r="A36" s="7" t="s">
        <v>506</v>
      </c>
      <c r="B36" s="5" t="s">
        <v>13</v>
      </c>
      <c r="C36" s="5">
        <v>90000135</v>
      </c>
      <c r="D36" s="6" t="s">
        <v>505</v>
      </c>
      <c r="E36" s="5" t="s">
        <v>504</v>
      </c>
      <c r="F36" s="5" t="s">
        <v>10</v>
      </c>
      <c r="G36" s="4">
        <v>1</v>
      </c>
      <c r="H36" s="1" t="s">
        <v>9</v>
      </c>
      <c r="I36" t="s">
        <v>2</v>
      </c>
      <c r="J36" s="3">
        <v>45417</v>
      </c>
      <c r="K36" s="3" t="str">
        <f t="shared" si="1"/>
        <v>May</v>
      </c>
      <c r="L36" s="2">
        <v>25550000</v>
      </c>
      <c r="M36" t="s">
        <v>1</v>
      </c>
      <c r="N36" s="1" t="s">
        <v>0</v>
      </c>
    </row>
    <row r="37" spans="1:14">
      <c r="A37" s="7" t="s">
        <v>503</v>
      </c>
      <c r="B37" s="5" t="s">
        <v>7</v>
      </c>
      <c r="C37" s="5">
        <v>90000136</v>
      </c>
      <c r="D37" s="6" t="s">
        <v>502</v>
      </c>
      <c r="E37" s="5" t="s">
        <v>501</v>
      </c>
      <c r="F37" s="5" t="s">
        <v>4</v>
      </c>
      <c r="G37" s="4">
        <v>15</v>
      </c>
      <c r="H37" s="1" t="s">
        <v>3</v>
      </c>
      <c r="I37" t="s">
        <v>2</v>
      </c>
      <c r="J37" s="3">
        <v>45418</v>
      </c>
      <c r="K37" s="3" t="str">
        <f t="shared" si="1"/>
        <v>May</v>
      </c>
      <c r="L37" s="2">
        <v>26150000</v>
      </c>
      <c r="M37" t="s">
        <v>1</v>
      </c>
      <c r="N37" s="1" t="s">
        <v>0</v>
      </c>
    </row>
    <row r="38" spans="1:14">
      <c r="A38" s="7" t="s">
        <v>500</v>
      </c>
      <c r="B38" s="5" t="s">
        <v>13</v>
      </c>
      <c r="C38" s="5">
        <v>90000137</v>
      </c>
      <c r="D38" s="6" t="s">
        <v>499</v>
      </c>
      <c r="E38" s="5" t="s">
        <v>498</v>
      </c>
      <c r="F38" s="5" t="s">
        <v>10</v>
      </c>
      <c r="G38" s="4">
        <v>10</v>
      </c>
      <c r="H38" s="1" t="s">
        <v>9</v>
      </c>
      <c r="I38" t="s">
        <v>2</v>
      </c>
      <c r="J38" s="3">
        <v>45419</v>
      </c>
      <c r="K38" s="3" t="str">
        <f t="shared" si="1"/>
        <v>May</v>
      </c>
      <c r="L38" s="2">
        <v>26750000</v>
      </c>
      <c r="M38" t="s">
        <v>1</v>
      </c>
      <c r="N38" s="1" t="s">
        <v>0</v>
      </c>
    </row>
    <row r="39" spans="1:14">
      <c r="A39" s="7" t="s">
        <v>497</v>
      </c>
      <c r="B39" s="5" t="s">
        <v>7</v>
      </c>
      <c r="C39" s="5">
        <v>90000138</v>
      </c>
      <c r="D39" s="6" t="s">
        <v>496</v>
      </c>
      <c r="E39" s="5" t="s">
        <v>495</v>
      </c>
      <c r="F39" s="5" t="s">
        <v>4</v>
      </c>
      <c r="G39" s="4">
        <v>2</v>
      </c>
      <c r="H39" s="1" t="s">
        <v>3</v>
      </c>
      <c r="I39" t="s">
        <v>2</v>
      </c>
      <c r="J39" s="3">
        <v>45420</v>
      </c>
      <c r="K39" s="3" t="str">
        <f t="shared" si="1"/>
        <v>May</v>
      </c>
      <c r="L39" s="2">
        <v>27350000</v>
      </c>
      <c r="M39" t="s">
        <v>1</v>
      </c>
      <c r="N39" s="1" t="s">
        <v>0</v>
      </c>
    </row>
    <row r="40" spans="1:14">
      <c r="A40" s="7" t="s">
        <v>494</v>
      </c>
      <c r="B40" s="5" t="s">
        <v>13</v>
      </c>
      <c r="C40" s="5">
        <v>90000139</v>
      </c>
      <c r="D40" s="6" t="s">
        <v>493</v>
      </c>
      <c r="E40" s="5" t="s">
        <v>492</v>
      </c>
      <c r="F40" s="5" t="s">
        <v>10</v>
      </c>
      <c r="G40" s="4">
        <v>10</v>
      </c>
      <c r="H40" s="1" t="s">
        <v>9</v>
      </c>
      <c r="I40" t="s">
        <v>2</v>
      </c>
      <c r="J40" s="3">
        <v>45421</v>
      </c>
      <c r="K40" s="3" t="str">
        <f t="shared" si="1"/>
        <v>May</v>
      </c>
      <c r="L40" s="2">
        <v>27950000</v>
      </c>
      <c r="M40" t="s">
        <v>1</v>
      </c>
      <c r="N40" s="1" t="s">
        <v>0</v>
      </c>
    </row>
    <row r="41" spans="1:14">
      <c r="A41" s="7" t="s">
        <v>491</v>
      </c>
      <c r="B41" s="5" t="s">
        <v>7</v>
      </c>
      <c r="C41" s="5">
        <v>90000140</v>
      </c>
      <c r="D41" s="6" t="s">
        <v>490</v>
      </c>
      <c r="E41" s="5" t="s">
        <v>489</v>
      </c>
      <c r="F41" s="5" t="s">
        <v>4</v>
      </c>
      <c r="G41" s="4">
        <v>15</v>
      </c>
      <c r="H41" s="1" t="s">
        <v>3</v>
      </c>
      <c r="I41" t="s">
        <v>2</v>
      </c>
      <c r="J41" s="3">
        <v>45422</v>
      </c>
      <c r="K41" s="3" t="str">
        <f t="shared" si="1"/>
        <v>May</v>
      </c>
      <c r="L41" s="2">
        <v>28550000</v>
      </c>
      <c r="M41" t="s">
        <v>1</v>
      </c>
      <c r="N41" s="1" t="s">
        <v>0</v>
      </c>
    </row>
    <row r="42" spans="1:14">
      <c r="A42" s="7" t="s">
        <v>488</v>
      </c>
      <c r="B42" s="5" t="s">
        <v>13</v>
      </c>
      <c r="C42" s="5">
        <v>90000141</v>
      </c>
      <c r="D42" s="6" t="s">
        <v>487</v>
      </c>
      <c r="E42" s="5" t="s">
        <v>486</v>
      </c>
      <c r="F42" s="5" t="s">
        <v>10</v>
      </c>
      <c r="G42" s="4">
        <v>15</v>
      </c>
      <c r="H42" s="1" t="s">
        <v>9</v>
      </c>
      <c r="I42" t="s">
        <v>2</v>
      </c>
      <c r="J42" s="3">
        <v>45423</v>
      </c>
      <c r="K42" s="3" t="str">
        <f t="shared" si="1"/>
        <v>May</v>
      </c>
      <c r="L42" s="2">
        <v>29150000</v>
      </c>
      <c r="M42" t="s">
        <v>1</v>
      </c>
      <c r="N42" s="1" t="s">
        <v>0</v>
      </c>
    </row>
    <row r="43" spans="1:14">
      <c r="A43" s="7" t="s">
        <v>485</v>
      </c>
      <c r="B43" s="5" t="s">
        <v>7</v>
      </c>
      <c r="C43" s="5">
        <v>90000142</v>
      </c>
      <c r="D43" s="6" t="s">
        <v>484</v>
      </c>
      <c r="E43" s="5" t="s">
        <v>483</v>
      </c>
      <c r="F43" s="5" t="s">
        <v>4</v>
      </c>
      <c r="G43" s="4">
        <v>15</v>
      </c>
      <c r="H43" s="1" t="s">
        <v>3</v>
      </c>
      <c r="I43" t="s">
        <v>2</v>
      </c>
      <c r="J43" s="3">
        <v>45424</v>
      </c>
      <c r="K43" s="3" t="str">
        <f t="shared" si="1"/>
        <v>May</v>
      </c>
      <c r="L43" s="2">
        <v>29750000</v>
      </c>
      <c r="M43" t="s">
        <v>1</v>
      </c>
      <c r="N43" s="1" t="s">
        <v>0</v>
      </c>
    </row>
    <row r="44" spans="1:14">
      <c r="A44" s="7" t="s">
        <v>482</v>
      </c>
      <c r="B44" s="5" t="s">
        <v>13</v>
      </c>
      <c r="C44" s="5">
        <v>90000143</v>
      </c>
      <c r="D44" s="6" t="s">
        <v>481</v>
      </c>
      <c r="E44" s="5" t="s">
        <v>480</v>
      </c>
      <c r="F44" s="5" t="s">
        <v>10</v>
      </c>
      <c r="G44" s="4">
        <v>15</v>
      </c>
      <c r="H44" s="1" t="s">
        <v>9</v>
      </c>
      <c r="I44" t="s">
        <v>2</v>
      </c>
      <c r="J44" s="3">
        <v>45425</v>
      </c>
      <c r="K44" s="3" t="str">
        <f t="shared" si="1"/>
        <v>May</v>
      </c>
      <c r="L44" s="2">
        <v>30350000</v>
      </c>
      <c r="M44" t="s">
        <v>1</v>
      </c>
      <c r="N44" s="1" t="s">
        <v>0</v>
      </c>
    </row>
    <row r="45" spans="1:14">
      <c r="A45" s="7" t="s">
        <v>479</v>
      </c>
      <c r="B45" s="5" t="s">
        <v>7</v>
      </c>
      <c r="C45" s="5">
        <v>90000144</v>
      </c>
      <c r="D45" s="6" t="s">
        <v>478</v>
      </c>
      <c r="E45" s="5" t="s">
        <v>477</v>
      </c>
      <c r="F45" s="5" t="s">
        <v>4</v>
      </c>
      <c r="G45" s="4">
        <v>2</v>
      </c>
      <c r="H45" s="1" t="s">
        <v>3</v>
      </c>
      <c r="I45" t="s">
        <v>2</v>
      </c>
      <c r="J45" s="3">
        <v>45426</v>
      </c>
      <c r="K45" s="3" t="str">
        <f t="shared" si="1"/>
        <v>May</v>
      </c>
      <c r="L45" s="2">
        <v>30950000</v>
      </c>
      <c r="M45" t="s">
        <v>1</v>
      </c>
      <c r="N45" s="1" t="s">
        <v>0</v>
      </c>
    </row>
    <row r="46" spans="1:14">
      <c r="A46" s="7" t="s">
        <v>476</v>
      </c>
      <c r="B46" s="5" t="s">
        <v>13</v>
      </c>
      <c r="C46" s="5">
        <v>90000145</v>
      </c>
      <c r="D46" s="6" t="s">
        <v>475</v>
      </c>
      <c r="E46" s="5" t="s">
        <v>474</v>
      </c>
      <c r="F46" s="5" t="s">
        <v>10</v>
      </c>
      <c r="G46" s="4">
        <v>5</v>
      </c>
      <c r="H46" s="1" t="s">
        <v>9</v>
      </c>
      <c r="I46" t="s">
        <v>2</v>
      </c>
      <c r="J46" s="3">
        <v>45427</v>
      </c>
      <c r="K46" s="3" t="str">
        <f t="shared" si="1"/>
        <v>May</v>
      </c>
      <c r="L46" s="2">
        <v>31550000</v>
      </c>
      <c r="M46" t="s">
        <v>1</v>
      </c>
      <c r="N46" s="1" t="s">
        <v>0</v>
      </c>
    </row>
    <row r="47" spans="1:14">
      <c r="A47" s="7" t="s">
        <v>473</v>
      </c>
      <c r="B47" s="5" t="s">
        <v>7</v>
      </c>
      <c r="C47" s="5">
        <v>90000146</v>
      </c>
      <c r="D47" s="6" t="s">
        <v>472</v>
      </c>
      <c r="E47" s="5" t="s">
        <v>471</v>
      </c>
      <c r="F47" s="5" t="s">
        <v>4</v>
      </c>
      <c r="G47" s="4">
        <v>15</v>
      </c>
      <c r="H47" s="1" t="s">
        <v>3</v>
      </c>
      <c r="I47" t="s">
        <v>2</v>
      </c>
      <c r="J47" s="3">
        <v>45428</v>
      </c>
      <c r="K47" s="3" t="str">
        <f t="shared" si="1"/>
        <v>May</v>
      </c>
      <c r="L47" s="2">
        <v>32150000</v>
      </c>
      <c r="M47" t="s">
        <v>1</v>
      </c>
      <c r="N47" s="1" t="s">
        <v>0</v>
      </c>
    </row>
    <row r="48" spans="1:14">
      <c r="A48" s="7" t="s">
        <v>470</v>
      </c>
      <c r="B48" s="5" t="s">
        <v>13</v>
      </c>
      <c r="C48" s="5">
        <v>90000147</v>
      </c>
      <c r="D48" s="6" t="s">
        <v>469</v>
      </c>
      <c r="E48" s="5" t="s">
        <v>468</v>
      </c>
      <c r="F48" s="5" t="s">
        <v>10</v>
      </c>
      <c r="G48" s="4">
        <v>15</v>
      </c>
      <c r="H48" s="1" t="s">
        <v>9</v>
      </c>
      <c r="I48" t="s">
        <v>2</v>
      </c>
      <c r="J48" s="3">
        <v>45429</v>
      </c>
      <c r="K48" s="3" t="str">
        <f t="shared" si="1"/>
        <v>May</v>
      </c>
      <c r="L48" s="2">
        <v>32750000</v>
      </c>
      <c r="M48" t="s">
        <v>1</v>
      </c>
      <c r="N48" s="1" t="s">
        <v>0</v>
      </c>
    </row>
    <row r="49" spans="1:14">
      <c r="A49" s="7" t="s">
        <v>467</v>
      </c>
      <c r="B49" s="5" t="s">
        <v>7</v>
      </c>
      <c r="C49" s="5">
        <v>90000148</v>
      </c>
      <c r="D49" s="6" t="s">
        <v>466</v>
      </c>
      <c r="E49" s="5" t="s">
        <v>465</v>
      </c>
      <c r="F49" s="5" t="s">
        <v>4</v>
      </c>
      <c r="G49" s="4">
        <v>1</v>
      </c>
      <c r="H49" s="1" t="s">
        <v>3</v>
      </c>
      <c r="I49" t="s">
        <v>2</v>
      </c>
      <c r="J49" s="3">
        <v>45430</v>
      </c>
      <c r="K49" s="3" t="str">
        <f t="shared" si="1"/>
        <v>May</v>
      </c>
      <c r="L49" s="2">
        <v>33350000</v>
      </c>
      <c r="M49" t="s">
        <v>1</v>
      </c>
      <c r="N49" s="1" t="s">
        <v>0</v>
      </c>
    </row>
    <row r="50" spans="1:14">
      <c r="A50" s="7" t="s">
        <v>464</v>
      </c>
      <c r="B50" s="5" t="s">
        <v>13</v>
      </c>
      <c r="C50" s="5">
        <v>90000149</v>
      </c>
      <c r="D50" s="6" t="s">
        <v>463</v>
      </c>
      <c r="E50" s="5" t="s">
        <v>462</v>
      </c>
      <c r="F50" s="5" t="s">
        <v>10</v>
      </c>
      <c r="G50" s="4">
        <v>5</v>
      </c>
      <c r="H50" s="1" t="s">
        <v>9</v>
      </c>
      <c r="I50" t="s">
        <v>2</v>
      </c>
      <c r="J50" s="3">
        <v>45431</v>
      </c>
      <c r="K50" s="3" t="str">
        <f t="shared" si="1"/>
        <v>May</v>
      </c>
      <c r="L50" s="2">
        <v>33950000</v>
      </c>
      <c r="M50" t="s">
        <v>1</v>
      </c>
      <c r="N50" s="1" t="s">
        <v>0</v>
      </c>
    </row>
    <row r="51" spans="1:14">
      <c r="A51" s="7" t="s">
        <v>461</v>
      </c>
      <c r="B51" s="5" t="s">
        <v>7</v>
      </c>
      <c r="C51" s="5">
        <v>90000150</v>
      </c>
      <c r="D51" s="6" t="s">
        <v>460</v>
      </c>
      <c r="E51" s="5" t="s">
        <v>459</v>
      </c>
      <c r="F51" s="5" t="s">
        <v>4</v>
      </c>
      <c r="G51" s="4">
        <v>15</v>
      </c>
      <c r="H51" s="1" t="s">
        <v>3</v>
      </c>
      <c r="I51" t="s">
        <v>2</v>
      </c>
      <c r="J51" s="3">
        <v>45432</v>
      </c>
      <c r="K51" s="3" t="str">
        <f t="shared" si="1"/>
        <v>May</v>
      </c>
      <c r="L51" s="2">
        <v>34550000</v>
      </c>
      <c r="M51" t="s">
        <v>1</v>
      </c>
      <c r="N51" s="1" t="s">
        <v>0</v>
      </c>
    </row>
    <row r="52" spans="1:14">
      <c r="A52" s="7" t="s">
        <v>458</v>
      </c>
      <c r="B52" s="5" t="s">
        <v>13</v>
      </c>
      <c r="C52" s="5">
        <v>90000151</v>
      </c>
      <c r="D52" s="6" t="s">
        <v>457</v>
      </c>
      <c r="E52" s="5" t="s">
        <v>456</v>
      </c>
      <c r="F52" s="5" t="s">
        <v>10</v>
      </c>
      <c r="G52" s="4">
        <v>1</v>
      </c>
      <c r="H52" s="1" t="s">
        <v>9</v>
      </c>
      <c r="I52" t="s">
        <v>2</v>
      </c>
      <c r="J52" s="3">
        <v>45433</v>
      </c>
      <c r="K52" s="3" t="str">
        <f t="shared" si="1"/>
        <v>May</v>
      </c>
      <c r="L52" s="2">
        <v>35150000</v>
      </c>
      <c r="M52" t="s">
        <v>1</v>
      </c>
      <c r="N52" s="1" t="s">
        <v>0</v>
      </c>
    </row>
    <row r="53" spans="1:14">
      <c r="A53" s="7" t="s">
        <v>455</v>
      </c>
      <c r="B53" s="5" t="s">
        <v>7</v>
      </c>
      <c r="C53" s="5">
        <v>90000152</v>
      </c>
      <c r="D53" s="6" t="s">
        <v>454</v>
      </c>
      <c r="E53" s="5" t="s">
        <v>453</v>
      </c>
      <c r="F53" s="5" t="s">
        <v>4</v>
      </c>
      <c r="G53" s="4">
        <v>2</v>
      </c>
      <c r="H53" s="1" t="s">
        <v>3</v>
      </c>
      <c r="I53" t="s">
        <v>2</v>
      </c>
      <c r="J53" s="3">
        <v>45434</v>
      </c>
      <c r="K53" s="3" t="str">
        <f t="shared" si="1"/>
        <v>May</v>
      </c>
      <c r="L53" s="2">
        <v>35750000</v>
      </c>
      <c r="M53" t="s">
        <v>1</v>
      </c>
      <c r="N53" s="1" t="s">
        <v>0</v>
      </c>
    </row>
    <row r="54" spans="1:14">
      <c r="A54" s="7" t="s">
        <v>452</v>
      </c>
      <c r="B54" s="5" t="s">
        <v>13</v>
      </c>
      <c r="C54" s="5">
        <v>90000153</v>
      </c>
      <c r="D54" s="6" t="s">
        <v>451</v>
      </c>
      <c r="E54" s="5" t="s">
        <v>450</v>
      </c>
      <c r="F54" s="5" t="s">
        <v>10</v>
      </c>
      <c r="G54" s="4">
        <v>10</v>
      </c>
      <c r="H54" s="1" t="s">
        <v>9</v>
      </c>
      <c r="I54" t="s">
        <v>2</v>
      </c>
      <c r="J54" s="3">
        <v>45435</v>
      </c>
      <c r="K54" s="3" t="str">
        <f t="shared" si="1"/>
        <v>May</v>
      </c>
      <c r="L54" s="2">
        <v>36350000</v>
      </c>
      <c r="M54" t="s">
        <v>1</v>
      </c>
      <c r="N54" s="1" t="s">
        <v>0</v>
      </c>
    </row>
    <row r="55" spans="1:14">
      <c r="A55" s="7" t="s">
        <v>449</v>
      </c>
      <c r="B55" s="5" t="s">
        <v>7</v>
      </c>
      <c r="C55" s="5">
        <v>90000154</v>
      </c>
      <c r="D55" s="6" t="s">
        <v>448</v>
      </c>
      <c r="E55" s="5" t="s">
        <v>447</v>
      </c>
      <c r="F55" s="5" t="s">
        <v>4</v>
      </c>
      <c r="G55" s="4">
        <v>2</v>
      </c>
      <c r="H55" s="1" t="s">
        <v>3</v>
      </c>
      <c r="I55" t="s">
        <v>2</v>
      </c>
      <c r="J55" s="3">
        <v>45436</v>
      </c>
      <c r="K55" s="3" t="str">
        <f t="shared" si="1"/>
        <v>May</v>
      </c>
      <c r="L55" s="2">
        <v>36950000</v>
      </c>
      <c r="M55" t="s">
        <v>1</v>
      </c>
      <c r="N55" s="1" t="s">
        <v>0</v>
      </c>
    </row>
    <row r="56" spans="1:14">
      <c r="A56" s="7" t="s">
        <v>446</v>
      </c>
      <c r="B56" s="5" t="s">
        <v>13</v>
      </c>
      <c r="C56" s="5">
        <v>90000155</v>
      </c>
      <c r="D56" s="6" t="s">
        <v>445</v>
      </c>
      <c r="E56" s="5" t="s">
        <v>444</v>
      </c>
      <c r="F56" s="5" t="s">
        <v>10</v>
      </c>
      <c r="G56" s="4">
        <v>2</v>
      </c>
      <c r="H56" s="1" t="s">
        <v>9</v>
      </c>
      <c r="I56" t="s">
        <v>2</v>
      </c>
      <c r="J56" s="3">
        <v>45437</v>
      </c>
      <c r="K56" s="3" t="str">
        <f t="shared" si="1"/>
        <v>May</v>
      </c>
      <c r="L56" s="2">
        <v>37550000</v>
      </c>
      <c r="M56" t="s">
        <v>1</v>
      </c>
      <c r="N56" s="1" t="s">
        <v>0</v>
      </c>
    </row>
    <row r="57" spans="1:14">
      <c r="A57" s="7" t="s">
        <v>443</v>
      </c>
      <c r="B57" s="5" t="s">
        <v>7</v>
      </c>
      <c r="C57" s="5">
        <v>90000156</v>
      </c>
      <c r="D57" s="6" t="s">
        <v>442</v>
      </c>
      <c r="E57" s="5" t="s">
        <v>441</v>
      </c>
      <c r="F57" s="5" t="s">
        <v>4</v>
      </c>
      <c r="G57" s="4">
        <v>15</v>
      </c>
      <c r="H57" s="1" t="s">
        <v>3</v>
      </c>
      <c r="I57" t="s">
        <v>2</v>
      </c>
      <c r="J57" s="3">
        <v>45438</v>
      </c>
      <c r="K57" s="3" t="str">
        <f t="shared" si="1"/>
        <v>May</v>
      </c>
      <c r="L57" s="2">
        <v>38150000</v>
      </c>
      <c r="M57" t="s">
        <v>1</v>
      </c>
      <c r="N57" s="1" t="s">
        <v>0</v>
      </c>
    </row>
    <row r="58" spans="1:14">
      <c r="A58" s="7" t="s">
        <v>440</v>
      </c>
      <c r="B58" s="5" t="s">
        <v>13</v>
      </c>
      <c r="C58" s="5">
        <v>90000157</v>
      </c>
      <c r="D58" s="6" t="s">
        <v>439</v>
      </c>
      <c r="E58" s="5" t="s">
        <v>438</v>
      </c>
      <c r="F58" s="5" t="s">
        <v>10</v>
      </c>
      <c r="G58" s="4">
        <v>1</v>
      </c>
      <c r="H58" s="1" t="s">
        <v>9</v>
      </c>
      <c r="I58" t="s">
        <v>2</v>
      </c>
      <c r="J58" s="3">
        <v>45439</v>
      </c>
      <c r="K58" s="3" t="str">
        <f t="shared" si="1"/>
        <v>May</v>
      </c>
      <c r="L58" s="2">
        <v>38750000</v>
      </c>
      <c r="M58" t="s">
        <v>1</v>
      </c>
      <c r="N58" s="1" t="s">
        <v>0</v>
      </c>
    </row>
    <row r="59" spans="1:14">
      <c r="A59" s="7" t="s">
        <v>437</v>
      </c>
      <c r="B59" s="5" t="s">
        <v>7</v>
      </c>
      <c r="C59" s="5">
        <v>90000158</v>
      </c>
      <c r="D59" s="6" t="s">
        <v>436</v>
      </c>
      <c r="E59" s="5" t="s">
        <v>435</v>
      </c>
      <c r="F59" s="5" t="s">
        <v>4</v>
      </c>
      <c r="G59" s="4">
        <v>15</v>
      </c>
      <c r="H59" s="1" t="s">
        <v>3</v>
      </c>
      <c r="I59" t="s">
        <v>2</v>
      </c>
      <c r="J59" s="3">
        <v>45440</v>
      </c>
      <c r="K59" s="3" t="str">
        <f t="shared" si="1"/>
        <v>May</v>
      </c>
      <c r="L59" s="2">
        <v>39350000</v>
      </c>
      <c r="M59" t="s">
        <v>1</v>
      </c>
      <c r="N59" s="1" t="s">
        <v>0</v>
      </c>
    </row>
    <row r="60" spans="1:14">
      <c r="A60" s="7" t="s">
        <v>434</v>
      </c>
      <c r="B60" s="5" t="s">
        <v>13</v>
      </c>
      <c r="C60" s="5">
        <v>90000159</v>
      </c>
      <c r="D60" s="6" t="s">
        <v>433</v>
      </c>
      <c r="E60" s="5" t="s">
        <v>432</v>
      </c>
      <c r="F60" s="5" t="s">
        <v>10</v>
      </c>
      <c r="G60" s="4">
        <v>2</v>
      </c>
      <c r="H60" s="1" t="s">
        <v>9</v>
      </c>
      <c r="I60" t="s">
        <v>2</v>
      </c>
      <c r="J60" s="3">
        <v>45441</v>
      </c>
      <c r="K60" s="3" t="str">
        <f t="shared" si="1"/>
        <v>May</v>
      </c>
      <c r="L60" s="2">
        <v>39950000</v>
      </c>
      <c r="M60" t="s">
        <v>1</v>
      </c>
      <c r="N60" s="1" t="s">
        <v>0</v>
      </c>
    </row>
    <row r="61" spans="1:14">
      <c r="A61" s="7" t="s">
        <v>431</v>
      </c>
      <c r="B61" s="5" t="s">
        <v>7</v>
      </c>
      <c r="C61" s="5">
        <v>90000160</v>
      </c>
      <c r="D61" s="6" t="s">
        <v>430</v>
      </c>
      <c r="E61" s="5" t="s">
        <v>429</v>
      </c>
      <c r="F61" s="5" t="s">
        <v>4</v>
      </c>
      <c r="G61" s="4">
        <v>2</v>
      </c>
      <c r="H61" s="1" t="s">
        <v>3</v>
      </c>
      <c r="I61" t="s">
        <v>2</v>
      </c>
      <c r="J61" s="3">
        <v>45442</v>
      </c>
      <c r="K61" s="3" t="str">
        <f t="shared" si="1"/>
        <v>May</v>
      </c>
      <c r="L61" s="2">
        <v>40550000</v>
      </c>
      <c r="M61" t="s">
        <v>1</v>
      </c>
      <c r="N61" s="1" t="s">
        <v>0</v>
      </c>
    </row>
    <row r="62" spans="1:14">
      <c r="A62" s="7" t="s">
        <v>428</v>
      </c>
      <c r="B62" s="5" t="s">
        <v>13</v>
      </c>
      <c r="C62" s="5">
        <v>90000161</v>
      </c>
      <c r="D62" s="6" t="s">
        <v>427</v>
      </c>
      <c r="E62" s="5" t="s">
        <v>426</v>
      </c>
      <c r="F62" s="5" t="s">
        <v>10</v>
      </c>
      <c r="G62" s="4">
        <v>10</v>
      </c>
      <c r="H62" s="1" t="s">
        <v>9</v>
      </c>
      <c r="I62" t="s">
        <v>2</v>
      </c>
      <c r="J62" s="3">
        <v>45443</v>
      </c>
      <c r="K62" s="3" t="str">
        <f t="shared" si="1"/>
        <v>May</v>
      </c>
      <c r="L62" s="2">
        <v>41150000</v>
      </c>
      <c r="M62" t="s">
        <v>1</v>
      </c>
      <c r="N62" s="1" t="s">
        <v>0</v>
      </c>
    </row>
    <row r="63" spans="1:14">
      <c r="A63" s="7" t="s">
        <v>425</v>
      </c>
      <c r="B63" s="5" t="s">
        <v>7</v>
      </c>
      <c r="C63" s="5">
        <v>90000162</v>
      </c>
      <c r="D63" s="6" t="s">
        <v>424</v>
      </c>
      <c r="E63" s="5" t="s">
        <v>423</v>
      </c>
      <c r="F63" s="5" t="s">
        <v>4</v>
      </c>
      <c r="G63" s="4">
        <v>5</v>
      </c>
      <c r="H63" s="1" t="s">
        <v>3</v>
      </c>
      <c r="I63" t="s">
        <v>2</v>
      </c>
      <c r="J63" s="3">
        <v>45444</v>
      </c>
      <c r="K63" s="3" t="str">
        <f t="shared" si="1"/>
        <v>Jun</v>
      </c>
      <c r="L63" s="2">
        <v>41750000</v>
      </c>
      <c r="M63" t="s">
        <v>1</v>
      </c>
      <c r="N63" s="1" t="s">
        <v>0</v>
      </c>
    </row>
    <row r="64" spans="1:14">
      <c r="A64" s="7" t="s">
        <v>422</v>
      </c>
      <c r="B64" s="5" t="s">
        <v>13</v>
      </c>
      <c r="C64" s="5">
        <v>90000163</v>
      </c>
      <c r="D64" s="6" t="s">
        <v>421</v>
      </c>
      <c r="E64" s="5" t="s">
        <v>420</v>
      </c>
      <c r="F64" s="5" t="s">
        <v>10</v>
      </c>
      <c r="G64" s="4">
        <v>5</v>
      </c>
      <c r="H64" s="1" t="s">
        <v>9</v>
      </c>
      <c r="I64" t="s">
        <v>2</v>
      </c>
      <c r="J64" s="3">
        <v>45445</v>
      </c>
      <c r="K64" s="3" t="str">
        <f t="shared" si="1"/>
        <v>Jun</v>
      </c>
      <c r="L64" s="2">
        <v>42350000</v>
      </c>
      <c r="M64" t="s">
        <v>1</v>
      </c>
      <c r="N64" s="1" t="s">
        <v>0</v>
      </c>
    </row>
    <row r="65" spans="1:14">
      <c r="A65" s="7" t="s">
        <v>419</v>
      </c>
      <c r="B65" s="5" t="s">
        <v>7</v>
      </c>
      <c r="C65" s="5">
        <v>90000164</v>
      </c>
      <c r="D65" s="6" t="s">
        <v>418</v>
      </c>
      <c r="E65" s="5" t="s">
        <v>417</v>
      </c>
      <c r="F65" s="5" t="s">
        <v>4</v>
      </c>
      <c r="G65" s="4">
        <v>5</v>
      </c>
      <c r="H65" s="1" t="s">
        <v>3</v>
      </c>
      <c r="I65" t="s">
        <v>2</v>
      </c>
      <c r="J65" s="3">
        <v>45446</v>
      </c>
      <c r="K65" s="3" t="str">
        <f t="shared" si="1"/>
        <v>Jun</v>
      </c>
      <c r="L65" s="2">
        <v>42950000</v>
      </c>
      <c r="M65" t="s">
        <v>1</v>
      </c>
      <c r="N65" s="1" t="s">
        <v>0</v>
      </c>
    </row>
    <row r="66" spans="1:14">
      <c r="A66" s="7" t="s">
        <v>416</v>
      </c>
      <c r="B66" s="5" t="s">
        <v>13</v>
      </c>
      <c r="C66" s="5">
        <v>90000165</v>
      </c>
      <c r="D66" s="6" t="s">
        <v>415</v>
      </c>
      <c r="E66" s="5" t="s">
        <v>414</v>
      </c>
      <c r="F66" s="5" t="s">
        <v>10</v>
      </c>
      <c r="G66" s="4">
        <v>15</v>
      </c>
      <c r="H66" s="1" t="s">
        <v>9</v>
      </c>
      <c r="I66" t="s">
        <v>2</v>
      </c>
      <c r="J66" s="3">
        <v>45447</v>
      </c>
      <c r="K66" s="3" t="str">
        <f t="shared" ref="K66:K97" si="2">TEXT(J66,"mmm")</f>
        <v>Jun</v>
      </c>
      <c r="L66" s="2">
        <v>43550000</v>
      </c>
      <c r="M66" t="s">
        <v>1</v>
      </c>
      <c r="N66" s="1" t="s">
        <v>0</v>
      </c>
    </row>
    <row r="67" spans="1:14">
      <c r="A67" s="7" t="s">
        <v>413</v>
      </c>
      <c r="B67" s="5" t="s">
        <v>7</v>
      </c>
      <c r="C67" s="5">
        <v>90000166</v>
      </c>
      <c r="D67" s="6" t="s">
        <v>412</v>
      </c>
      <c r="E67" s="5" t="s">
        <v>411</v>
      </c>
      <c r="F67" s="5" t="s">
        <v>4</v>
      </c>
      <c r="G67" s="4">
        <v>10</v>
      </c>
      <c r="H67" s="1" t="s">
        <v>3</v>
      </c>
      <c r="I67" t="s">
        <v>2</v>
      </c>
      <c r="J67" s="3">
        <v>45448</v>
      </c>
      <c r="K67" s="3" t="str">
        <f t="shared" si="2"/>
        <v>Jun</v>
      </c>
      <c r="L67" s="2">
        <v>44150000</v>
      </c>
      <c r="M67" t="s">
        <v>1</v>
      </c>
      <c r="N67" s="1" t="s">
        <v>0</v>
      </c>
    </row>
    <row r="68" spans="1:14">
      <c r="A68" s="7" t="s">
        <v>410</v>
      </c>
      <c r="B68" s="5" t="s">
        <v>13</v>
      </c>
      <c r="C68" s="5">
        <v>90000167</v>
      </c>
      <c r="D68" s="6" t="s">
        <v>409</v>
      </c>
      <c r="E68" s="5" t="s">
        <v>408</v>
      </c>
      <c r="F68" s="5" t="s">
        <v>10</v>
      </c>
      <c r="G68" s="4">
        <v>5</v>
      </c>
      <c r="H68" s="1" t="s">
        <v>9</v>
      </c>
      <c r="I68" t="s">
        <v>2</v>
      </c>
      <c r="J68" s="3">
        <v>45449</v>
      </c>
      <c r="K68" s="3" t="str">
        <f t="shared" si="2"/>
        <v>Jun</v>
      </c>
      <c r="L68" s="2">
        <v>44750000</v>
      </c>
      <c r="M68" t="s">
        <v>1</v>
      </c>
      <c r="N68" s="1" t="s">
        <v>0</v>
      </c>
    </row>
    <row r="69" spans="1:14">
      <c r="A69" s="7" t="s">
        <v>407</v>
      </c>
      <c r="B69" s="5" t="s">
        <v>7</v>
      </c>
      <c r="C69" s="5">
        <v>90000168</v>
      </c>
      <c r="D69" s="6" t="s">
        <v>406</v>
      </c>
      <c r="E69" s="5" t="s">
        <v>405</v>
      </c>
      <c r="F69" s="5" t="s">
        <v>4</v>
      </c>
      <c r="G69" s="4">
        <v>10</v>
      </c>
      <c r="H69" s="1" t="s">
        <v>3</v>
      </c>
      <c r="I69" t="s">
        <v>2</v>
      </c>
      <c r="J69" s="3">
        <v>45450</v>
      </c>
      <c r="K69" s="3" t="str">
        <f t="shared" si="2"/>
        <v>Jun</v>
      </c>
      <c r="L69" s="2">
        <v>45350000</v>
      </c>
      <c r="M69" t="s">
        <v>1</v>
      </c>
      <c r="N69" s="1" t="s">
        <v>0</v>
      </c>
    </row>
    <row r="70" spans="1:14">
      <c r="A70" s="7" t="s">
        <v>404</v>
      </c>
      <c r="B70" s="5" t="s">
        <v>13</v>
      </c>
      <c r="C70" s="5">
        <v>90000169</v>
      </c>
      <c r="D70" s="6" t="s">
        <v>403</v>
      </c>
      <c r="E70" s="5" t="s">
        <v>402</v>
      </c>
      <c r="F70" s="5" t="s">
        <v>10</v>
      </c>
      <c r="G70" s="4">
        <v>2</v>
      </c>
      <c r="H70" s="1" t="s">
        <v>9</v>
      </c>
      <c r="I70" t="s">
        <v>2</v>
      </c>
      <c r="J70" s="3">
        <v>45451</v>
      </c>
      <c r="K70" s="3" t="str">
        <f t="shared" si="2"/>
        <v>Jun</v>
      </c>
      <c r="L70" s="2">
        <v>45950000</v>
      </c>
      <c r="M70" t="s">
        <v>1</v>
      </c>
      <c r="N70" s="1" t="s">
        <v>0</v>
      </c>
    </row>
    <row r="71" spans="1:14">
      <c r="A71" s="7" t="s">
        <v>401</v>
      </c>
      <c r="B71" s="5" t="s">
        <v>7</v>
      </c>
      <c r="C71" s="5">
        <v>90000170</v>
      </c>
      <c r="D71" s="6" t="s">
        <v>400</v>
      </c>
      <c r="E71" s="5" t="s">
        <v>399</v>
      </c>
      <c r="F71" s="5" t="s">
        <v>4</v>
      </c>
      <c r="G71" s="4">
        <v>5</v>
      </c>
      <c r="H71" s="1" t="s">
        <v>3</v>
      </c>
      <c r="I71" t="s">
        <v>2</v>
      </c>
      <c r="J71" s="3">
        <v>45452</v>
      </c>
      <c r="K71" s="3" t="str">
        <f t="shared" si="2"/>
        <v>Jun</v>
      </c>
      <c r="L71" s="2">
        <v>46550000</v>
      </c>
      <c r="M71" t="s">
        <v>1</v>
      </c>
      <c r="N71" s="1" t="s">
        <v>0</v>
      </c>
    </row>
    <row r="72" spans="1:14">
      <c r="A72" s="7" t="s">
        <v>398</v>
      </c>
      <c r="B72" s="5" t="s">
        <v>13</v>
      </c>
      <c r="C72" s="5">
        <v>90000171</v>
      </c>
      <c r="D72" s="6" t="s">
        <v>397</v>
      </c>
      <c r="E72" s="5" t="s">
        <v>396</v>
      </c>
      <c r="F72" s="5" t="s">
        <v>10</v>
      </c>
      <c r="G72" s="4">
        <v>15</v>
      </c>
      <c r="H72" s="1" t="s">
        <v>9</v>
      </c>
      <c r="I72" t="s">
        <v>2</v>
      </c>
      <c r="J72" s="3">
        <v>45453</v>
      </c>
      <c r="K72" s="3" t="str">
        <f t="shared" si="2"/>
        <v>Jun</v>
      </c>
      <c r="L72" s="2">
        <v>47150000</v>
      </c>
      <c r="M72" t="s">
        <v>1</v>
      </c>
      <c r="N72" s="1" t="s">
        <v>0</v>
      </c>
    </row>
    <row r="73" spans="1:14">
      <c r="A73" s="7" t="s">
        <v>395</v>
      </c>
      <c r="B73" s="5" t="s">
        <v>7</v>
      </c>
      <c r="C73" s="5">
        <v>90000172</v>
      </c>
      <c r="D73" s="6" t="s">
        <v>394</v>
      </c>
      <c r="E73" s="5" t="s">
        <v>393</v>
      </c>
      <c r="F73" s="5" t="s">
        <v>4</v>
      </c>
      <c r="G73" s="4">
        <v>2</v>
      </c>
      <c r="H73" s="1" t="s">
        <v>3</v>
      </c>
      <c r="I73" t="s">
        <v>2</v>
      </c>
      <c r="J73" s="3">
        <v>45454</v>
      </c>
      <c r="K73" s="3" t="str">
        <f t="shared" si="2"/>
        <v>Jun</v>
      </c>
      <c r="L73" s="2">
        <v>47750000</v>
      </c>
      <c r="M73" t="s">
        <v>1</v>
      </c>
      <c r="N73" s="1" t="s">
        <v>0</v>
      </c>
    </row>
    <row r="74" spans="1:14">
      <c r="A74" s="7" t="s">
        <v>392</v>
      </c>
      <c r="B74" s="5" t="s">
        <v>13</v>
      </c>
      <c r="C74" s="5">
        <v>90000173</v>
      </c>
      <c r="D74" s="6" t="s">
        <v>391</v>
      </c>
      <c r="E74" s="5" t="s">
        <v>390</v>
      </c>
      <c r="F74" s="5" t="s">
        <v>10</v>
      </c>
      <c r="G74" s="4">
        <v>15</v>
      </c>
      <c r="H74" s="1" t="s">
        <v>9</v>
      </c>
      <c r="I74" t="s">
        <v>2</v>
      </c>
      <c r="J74" s="3">
        <v>45455</v>
      </c>
      <c r="K74" s="3" t="str">
        <f t="shared" si="2"/>
        <v>Jun</v>
      </c>
      <c r="L74" s="2">
        <v>48350000</v>
      </c>
      <c r="M74" t="s">
        <v>1</v>
      </c>
      <c r="N74" s="1" t="s">
        <v>0</v>
      </c>
    </row>
    <row r="75" spans="1:14">
      <c r="A75" s="7" t="s">
        <v>389</v>
      </c>
      <c r="B75" s="5" t="s">
        <v>7</v>
      </c>
      <c r="C75" s="5">
        <v>90000174</v>
      </c>
      <c r="D75" s="6" t="s">
        <v>388</v>
      </c>
      <c r="E75" s="5" t="s">
        <v>387</v>
      </c>
      <c r="F75" s="5" t="s">
        <v>4</v>
      </c>
      <c r="G75" s="4">
        <v>2</v>
      </c>
      <c r="H75" s="1" t="s">
        <v>3</v>
      </c>
      <c r="I75" t="s">
        <v>2</v>
      </c>
      <c r="J75" s="3">
        <v>45456</v>
      </c>
      <c r="K75" s="3" t="str">
        <f t="shared" si="2"/>
        <v>Jun</v>
      </c>
      <c r="L75" s="2">
        <v>48950000</v>
      </c>
      <c r="M75" t="s">
        <v>1</v>
      </c>
      <c r="N75" s="1" t="s">
        <v>0</v>
      </c>
    </row>
    <row r="76" spans="1:14">
      <c r="A76" s="7" t="s">
        <v>386</v>
      </c>
      <c r="B76" s="5" t="s">
        <v>13</v>
      </c>
      <c r="C76" s="5">
        <v>90000175</v>
      </c>
      <c r="D76" s="6" t="s">
        <v>385</v>
      </c>
      <c r="E76" s="5" t="s">
        <v>384</v>
      </c>
      <c r="F76" s="5" t="s">
        <v>10</v>
      </c>
      <c r="G76" s="4">
        <v>1</v>
      </c>
      <c r="H76" s="1" t="s">
        <v>9</v>
      </c>
      <c r="I76" t="s">
        <v>2</v>
      </c>
      <c r="J76" s="3">
        <v>45457</v>
      </c>
      <c r="K76" s="3" t="str">
        <f t="shared" si="2"/>
        <v>Jun</v>
      </c>
      <c r="L76" s="2">
        <v>49550000</v>
      </c>
      <c r="M76" t="s">
        <v>1</v>
      </c>
      <c r="N76" s="1" t="s">
        <v>0</v>
      </c>
    </row>
    <row r="77" spans="1:14">
      <c r="A77" s="7" t="s">
        <v>383</v>
      </c>
      <c r="B77" s="5" t="s">
        <v>7</v>
      </c>
      <c r="C77" s="5">
        <v>90000176</v>
      </c>
      <c r="D77" s="6" t="s">
        <v>382</v>
      </c>
      <c r="E77" s="5" t="s">
        <v>381</v>
      </c>
      <c r="F77" s="5" t="s">
        <v>4</v>
      </c>
      <c r="G77" s="4">
        <v>10</v>
      </c>
      <c r="H77" s="1" t="s">
        <v>3</v>
      </c>
      <c r="I77" t="s">
        <v>2</v>
      </c>
      <c r="J77" s="3">
        <v>45458</v>
      </c>
      <c r="K77" s="3" t="str">
        <f t="shared" si="2"/>
        <v>Jun</v>
      </c>
      <c r="L77" s="2">
        <v>50150000</v>
      </c>
      <c r="M77" t="s">
        <v>1</v>
      </c>
      <c r="N77" s="1" t="s">
        <v>0</v>
      </c>
    </row>
    <row r="78" spans="1:14">
      <c r="A78" s="7" t="s">
        <v>380</v>
      </c>
      <c r="B78" s="5" t="s">
        <v>13</v>
      </c>
      <c r="C78" s="5">
        <v>90000177</v>
      </c>
      <c r="D78" s="6" t="s">
        <v>379</v>
      </c>
      <c r="E78" s="5" t="s">
        <v>378</v>
      </c>
      <c r="F78" s="5" t="s">
        <v>10</v>
      </c>
      <c r="G78" s="4">
        <v>5</v>
      </c>
      <c r="H78" s="1" t="s">
        <v>9</v>
      </c>
      <c r="I78" t="s">
        <v>2</v>
      </c>
      <c r="J78" s="3">
        <v>45459</v>
      </c>
      <c r="K78" s="3" t="str">
        <f t="shared" si="2"/>
        <v>Jun</v>
      </c>
      <c r="L78" s="2">
        <v>50750000</v>
      </c>
      <c r="M78" t="s">
        <v>1</v>
      </c>
      <c r="N78" s="1" t="s">
        <v>0</v>
      </c>
    </row>
    <row r="79" spans="1:14">
      <c r="A79" s="7" t="s">
        <v>377</v>
      </c>
      <c r="B79" s="5" t="s">
        <v>7</v>
      </c>
      <c r="C79" s="5">
        <v>90000178</v>
      </c>
      <c r="D79" s="6" t="s">
        <v>376</v>
      </c>
      <c r="E79" s="5" t="s">
        <v>375</v>
      </c>
      <c r="F79" s="5" t="s">
        <v>4</v>
      </c>
      <c r="G79" s="4">
        <v>10</v>
      </c>
      <c r="H79" s="1" t="s">
        <v>3</v>
      </c>
      <c r="I79" t="s">
        <v>2</v>
      </c>
      <c r="J79" s="3">
        <v>45460</v>
      </c>
      <c r="K79" s="3" t="str">
        <f t="shared" si="2"/>
        <v>Jun</v>
      </c>
      <c r="L79" s="2">
        <v>51350000</v>
      </c>
      <c r="M79" t="s">
        <v>1</v>
      </c>
      <c r="N79" s="1" t="s">
        <v>0</v>
      </c>
    </row>
    <row r="80" spans="1:14">
      <c r="A80" s="7" t="s">
        <v>374</v>
      </c>
      <c r="B80" s="5" t="s">
        <v>13</v>
      </c>
      <c r="C80" s="5">
        <v>90000179</v>
      </c>
      <c r="D80" s="6" t="s">
        <v>373</v>
      </c>
      <c r="E80" s="5" t="s">
        <v>372</v>
      </c>
      <c r="F80" s="5" t="s">
        <v>10</v>
      </c>
      <c r="G80" s="4">
        <v>5</v>
      </c>
      <c r="H80" s="1" t="s">
        <v>9</v>
      </c>
      <c r="I80" t="s">
        <v>2</v>
      </c>
      <c r="J80" s="3">
        <v>45461</v>
      </c>
      <c r="K80" s="3" t="str">
        <f t="shared" si="2"/>
        <v>Jun</v>
      </c>
      <c r="L80" s="2">
        <v>51950000</v>
      </c>
      <c r="M80" t="s">
        <v>1</v>
      </c>
      <c r="N80" s="1" t="s">
        <v>0</v>
      </c>
    </row>
    <row r="81" spans="1:14">
      <c r="A81" s="7" t="s">
        <v>371</v>
      </c>
      <c r="B81" s="5" t="s">
        <v>7</v>
      </c>
      <c r="C81" s="5">
        <v>90000180</v>
      </c>
      <c r="D81" s="6" t="s">
        <v>370</v>
      </c>
      <c r="E81" s="5" t="s">
        <v>369</v>
      </c>
      <c r="F81" s="5" t="s">
        <v>4</v>
      </c>
      <c r="G81" s="4">
        <v>15</v>
      </c>
      <c r="H81" s="1" t="s">
        <v>3</v>
      </c>
      <c r="I81" t="s">
        <v>2</v>
      </c>
      <c r="J81" s="3">
        <v>45462</v>
      </c>
      <c r="K81" s="3" t="str">
        <f t="shared" si="2"/>
        <v>Jun</v>
      </c>
      <c r="L81" s="2">
        <v>52550000</v>
      </c>
      <c r="M81" t="s">
        <v>1</v>
      </c>
      <c r="N81" s="1" t="s">
        <v>0</v>
      </c>
    </row>
    <row r="82" spans="1:14">
      <c r="A82" s="7" t="s">
        <v>368</v>
      </c>
      <c r="B82" s="5" t="s">
        <v>13</v>
      </c>
      <c r="C82" s="5">
        <v>90000181</v>
      </c>
      <c r="D82" s="6" t="s">
        <v>367</v>
      </c>
      <c r="E82" s="5" t="s">
        <v>366</v>
      </c>
      <c r="F82" s="5" t="s">
        <v>10</v>
      </c>
      <c r="G82" s="4">
        <v>2</v>
      </c>
      <c r="H82" s="1" t="s">
        <v>9</v>
      </c>
      <c r="I82" t="s">
        <v>2</v>
      </c>
      <c r="J82" s="3">
        <v>45463</v>
      </c>
      <c r="K82" s="3" t="str">
        <f t="shared" si="2"/>
        <v>Jun</v>
      </c>
      <c r="L82" s="2">
        <v>53150000</v>
      </c>
      <c r="M82" t="s">
        <v>1</v>
      </c>
      <c r="N82" s="1" t="s">
        <v>0</v>
      </c>
    </row>
    <row r="83" spans="1:14">
      <c r="A83" s="7" t="s">
        <v>365</v>
      </c>
      <c r="B83" s="5" t="s">
        <v>7</v>
      </c>
      <c r="C83" s="5">
        <v>90000182</v>
      </c>
      <c r="D83" s="6" t="s">
        <v>364</v>
      </c>
      <c r="E83" s="5" t="s">
        <v>363</v>
      </c>
      <c r="F83" s="5" t="s">
        <v>4</v>
      </c>
      <c r="G83" s="4">
        <v>2</v>
      </c>
      <c r="H83" s="1" t="s">
        <v>3</v>
      </c>
      <c r="I83" t="s">
        <v>2</v>
      </c>
      <c r="J83" s="3">
        <v>45464</v>
      </c>
      <c r="K83" s="3" t="str">
        <f t="shared" si="2"/>
        <v>Jun</v>
      </c>
      <c r="L83" s="2">
        <v>53750000</v>
      </c>
      <c r="M83" t="s">
        <v>1</v>
      </c>
      <c r="N83" s="1" t="s">
        <v>0</v>
      </c>
    </row>
    <row r="84" spans="1:14">
      <c r="A84" s="7" t="s">
        <v>362</v>
      </c>
      <c r="B84" s="5" t="s">
        <v>13</v>
      </c>
      <c r="C84" s="5">
        <v>90000183</v>
      </c>
      <c r="D84" s="6" t="s">
        <v>361</v>
      </c>
      <c r="E84" s="5" t="s">
        <v>360</v>
      </c>
      <c r="F84" s="5" t="s">
        <v>10</v>
      </c>
      <c r="G84" s="4">
        <v>10</v>
      </c>
      <c r="H84" s="1" t="s">
        <v>9</v>
      </c>
      <c r="I84" t="s">
        <v>2</v>
      </c>
      <c r="J84" s="3">
        <v>45465</v>
      </c>
      <c r="K84" s="3" t="str">
        <f t="shared" si="2"/>
        <v>Jun</v>
      </c>
      <c r="L84" s="2">
        <v>54350000</v>
      </c>
      <c r="M84" t="s">
        <v>1</v>
      </c>
      <c r="N84" s="1" t="s">
        <v>0</v>
      </c>
    </row>
    <row r="85" spans="1:14">
      <c r="A85" s="7" t="s">
        <v>359</v>
      </c>
      <c r="B85" s="5" t="s">
        <v>7</v>
      </c>
      <c r="C85" s="5">
        <v>90000184</v>
      </c>
      <c r="D85" s="6" t="s">
        <v>358</v>
      </c>
      <c r="E85" s="5" t="s">
        <v>357</v>
      </c>
      <c r="F85" s="5" t="s">
        <v>4</v>
      </c>
      <c r="G85" s="4">
        <v>5</v>
      </c>
      <c r="H85" s="1" t="s">
        <v>3</v>
      </c>
      <c r="I85" t="s">
        <v>2</v>
      </c>
      <c r="J85" s="3">
        <v>45466</v>
      </c>
      <c r="K85" s="3" t="str">
        <f t="shared" si="2"/>
        <v>Jun</v>
      </c>
      <c r="L85" s="2">
        <v>54950000</v>
      </c>
      <c r="M85" t="s">
        <v>1</v>
      </c>
      <c r="N85" s="1" t="s">
        <v>0</v>
      </c>
    </row>
    <row r="86" spans="1:14">
      <c r="A86" s="7" t="s">
        <v>356</v>
      </c>
      <c r="B86" s="5" t="s">
        <v>13</v>
      </c>
      <c r="C86" s="5">
        <v>90000185</v>
      </c>
      <c r="D86" s="6" t="s">
        <v>355</v>
      </c>
      <c r="E86" s="5" t="s">
        <v>354</v>
      </c>
      <c r="F86" s="5" t="s">
        <v>10</v>
      </c>
      <c r="G86" s="4">
        <v>10</v>
      </c>
      <c r="H86" s="1" t="s">
        <v>9</v>
      </c>
      <c r="I86" t="s">
        <v>2</v>
      </c>
      <c r="J86" s="3">
        <v>45467</v>
      </c>
      <c r="K86" s="3" t="str">
        <f t="shared" si="2"/>
        <v>Jun</v>
      </c>
      <c r="L86" s="2">
        <v>55550000</v>
      </c>
      <c r="M86" t="s">
        <v>1</v>
      </c>
      <c r="N86" s="1" t="s">
        <v>0</v>
      </c>
    </row>
    <row r="87" spans="1:14">
      <c r="A87" s="7" t="s">
        <v>353</v>
      </c>
      <c r="B87" s="5" t="s">
        <v>7</v>
      </c>
      <c r="C87" s="5">
        <v>90000186</v>
      </c>
      <c r="D87" s="6" t="s">
        <v>352</v>
      </c>
      <c r="E87" s="5" t="s">
        <v>351</v>
      </c>
      <c r="F87" s="5" t="s">
        <v>4</v>
      </c>
      <c r="G87" s="4">
        <v>1</v>
      </c>
      <c r="H87" s="1" t="s">
        <v>3</v>
      </c>
      <c r="I87" t="s">
        <v>2</v>
      </c>
      <c r="J87" s="3">
        <v>45468</v>
      </c>
      <c r="K87" s="3" t="str">
        <f t="shared" si="2"/>
        <v>Jun</v>
      </c>
      <c r="L87" s="2">
        <v>56150000</v>
      </c>
      <c r="M87" t="s">
        <v>1</v>
      </c>
      <c r="N87" s="1" t="s">
        <v>0</v>
      </c>
    </row>
    <row r="88" spans="1:14">
      <c r="A88" s="7" t="s">
        <v>350</v>
      </c>
      <c r="B88" s="5" t="s">
        <v>13</v>
      </c>
      <c r="C88" s="5">
        <v>90000187</v>
      </c>
      <c r="D88" s="6" t="s">
        <v>349</v>
      </c>
      <c r="E88" s="5" t="s">
        <v>348</v>
      </c>
      <c r="F88" s="5" t="s">
        <v>10</v>
      </c>
      <c r="G88" s="4">
        <v>2</v>
      </c>
      <c r="H88" s="1" t="s">
        <v>9</v>
      </c>
      <c r="I88" t="s">
        <v>2</v>
      </c>
      <c r="J88" s="3">
        <v>45469</v>
      </c>
      <c r="K88" s="3" t="str">
        <f t="shared" si="2"/>
        <v>Jun</v>
      </c>
      <c r="L88" s="2">
        <v>56750000</v>
      </c>
      <c r="M88" t="s">
        <v>1</v>
      </c>
      <c r="N88" s="1" t="s">
        <v>0</v>
      </c>
    </row>
    <row r="89" spans="1:14">
      <c r="A89" s="7" t="s">
        <v>347</v>
      </c>
      <c r="B89" s="5" t="s">
        <v>7</v>
      </c>
      <c r="C89" s="5">
        <v>90000188</v>
      </c>
      <c r="D89" s="6" t="s">
        <v>346</v>
      </c>
      <c r="E89" s="5" t="s">
        <v>345</v>
      </c>
      <c r="F89" s="5" t="s">
        <v>4</v>
      </c>
      <c r="G89" s="4">
        <v>10</v>
      </c>
      <c r="H89" s="1" t="s">
        <v>3</v>
      </c>
      <c r="I89" t="s">
        <v>2</v>
      </c>
      <c r="J89" s="3">
        <v>45470</v>
      </c>
      <c r="K89" s="3" t="str">
        <f t="shared" si="2"/>
        <v>Jun</v>
      </c>
      <c r="L89" s="2">
        <v>57350000</v>
      </c>
      <c r="M89" t="s">
        <v>1</v>
      </c>
      <c r="N89" s="1" t="s">
        <v>0</v>
      </c>
    </row>
    <row r="90" spans="1:14">
      <c r="A90" s="7" t="s">
        <v>344</v>
      </c>
      <c r="B90" s="5" t="s">
        <v>13</v>
      </c>
      <c r="C90" s="5">
        <v>90000189</v>
      </c>
      <c r="D90" s="6" t="s">
        <v>343</v>
      </c>
      <c r="E90" s="5" t="s">
        <v>342</v>
      </c>
      <c r="F90" s="5" t="s">
        <v>10</v>
      </c>
      <c r="G90" s="4">
        <v>1</v>
      </c>
      <c r="H90" s="1" t="s">
        <v>9</v>
      </c>
      <c r="I90" t="s">
        <v>2</v>
      </c>
      <c r="J90" s="3">
        <v>45471</v>
      </c>
      <c r="K90" s="3" t="str">
        <f t="shared" si="2"/>
        <v>Jun</v>
      </c>
      <c r="L90" s="2">
        <v>57950000</v>
      </c>
      <c r="M90" t="s">
        <v>1</v>
      </c>
      <c r="N90" s="1" t="s">
        <v>0</v>
      </c>
    </row>
    <row r="91" spans="1:14">
      <c r="A91" s="7" t="s">
        <v>341</v>
      </c>
      <c r="B91" s="5" t="s">
        <v>7</v>
      </c>
      <c r="C91" s="5">
        <v>90000190</v>
      </c>
      <c r="D91" s="6" t="s">
        <v>340</v>
      </c>
      <c r="E91" s="5" t="s">
        <v>339</v>
      </c>
      <c r="F91" s="5" t="s">
        <v>4</v>
      </c>
      <c r="G91" s="4">
        <v>15</v>
      </c>
      <c r="H91" s="1" t="s">
        <v>3</v>
      </c>
      <c r="I91" t="s">
        <v>2</v>
      </c>
      <c r="J91" s="3">
        <v>45472</v>
      </c>
      <c r="K91" s="3" t="str">
        <f t="shared" si="2"/>
        <v>Jun</v>
      </c>
      <c r="L91" s="2">
        <v>58550000</v>
      </c>
      <c r="M91" t="s">
        <v>1</v>
      </c>
      <c r="N91" s="1" t="s">
        <v>0</v>
      </c>
    </row>
    <row r="92" spans="1:14">
      <c r="A92" s="7" t="s">
        <v>338</v>
      </c>
      <c r="B92" s="5" t="s">
        <v>13</v>
      </c>
      <c r="C92" s="5">
        <v>90000191</v>
      </c>
      <c r="D92" s="6" t="s">
        <v>337</v>
      </c>
      <c r="E92" s="5" t="s">
        <v>336</v>
      </c>
      <c r="F92" s="5" t="s">
        <v>10</v>
      </c>
      <c r="G92" s="4">
        <v>1</v>
      </c>
      <c r="H92" s="1" t="s">
        <v>9</v>
      </c>
      <c r="I92" t="s">
        <v>2</v>
      </c>
      <c r="J92" s="3">
        <v>45473</v>
      </c>
      <c r="K92" s="3" t="str">
        <f t="shared" si="2"/>
        <v>Jun</v>
      </c>
      <c r="L92" s="2">
        <v>59150000</v>
      </c>
      <c r="M92" t="s">
        <v>1</v>
      </c>
      <c r="N92" s="1" t="s">
        <v>0</v>
      </c>
    </row>
    <row r="93" spans="1:14">
      <c r="A93" s="7" t="s">
        <v>335</v>
      </c>
      <c r="B93" s="5" t="s">
        <v>7</v>
      </c>
      <c r="C93" s="5">
        <v>90000192</v>
      </c>
      <c r="D93" s="6" t="s">
        <v>334</v>
      </c>
      <c r="E93" s="5" t="s">
        <v>333</v>
      </c>
      <c r="F93" s="5" t="s">
        <v>4</v>
      </c>
      <c r="G93" s="4">
        <v>2</v>
      </c>
      <c r="H93" s="1" t="s">
        <v>3</v>
      </c>
      <c r="I93" t="s">
        <v>2</v>
      </c>
      <c r="J93" s="3">
        <v>45474</v>
      </c>
      <c r="K93" s="3" t="str">
        <f t="shared" si="2"/>
        <v>Jul</v>
      </c>
      <c r="L93" s="2">
        <v>59750000</v>
      </c>
      <c r="M93" t="s">
        <v>1</v>
      </c>
      <c r="N93" s="1" t="s">
        <v>0</v>
      </c>
    </row>
    <row r="94" spans="1:14">
      <c r="A94" s="7" t="s">
        <v>332</v>
      </c>
      <c r="B94" s="5" t="s">
        <v>13</v>
      </c>
      <c r="C94" s="5">
        <v>90000193</v>
      </c>
      <c r="D94" s="6" t="s">
        <v>331</v>
      </c>
      <c r="E94" s="5" t="s">
        <v>330</v>
      </c>
      <c r="F94" s="5" t="s">
        <v>10</v>
      </c>
      <c r="G94" s="4">
        <v>5</v>
      </c>
      <c r="H94" s="1" t="s">
        <v>9</v>
      </c>
      <c r="I94" t="s">
        <v>2</v>
      </c>
      <c r="J94" s="3">
        <v>45475</v>
      </c>
      <c r="K94" s="3" t="str">
        <f t="shared" si="2"/>
        <v>Jul</v>
      </c>
      <c r="L94" s="2">
        <v>60350000</v>
      </c>
      <c r="M94" t="s">
        <v>1</v>
      </c>
      <c r="N94" s="1" t="s">
        <v>0</v>
      </c>
    </row>
    <row r="95" spans="1:14">
      <c r="A95" s="7" t="s">
        <v>329</v>
      </c>
      <c r="B95" s="5" t="s">
        <v>7</v>
      </c>
      <c r="C95" s="5">
        <v>90000194</v>
      </c>
      <c r="D95" s="6" t="s">
        <v>328</v>
      </c>
      <c r="E95" s="5" t="s">
        <v>327</v>
      </c>
      <c r="F95" s="5" t="s">
        <v>4</v>
      </c>
      <c r="G95" s="4">
        <v>15</v>
      </c>
      <c r="H95" s="1" t="s">
        <v>3</v>
      </c>
      <c r="I95" t="s">
        <v>2</v>
      </c>
      <c r="J95" s="3">
        <v>45476</v>
      </c>
      <c r="K95" s="3" t="str">
        <f t="shared" si="2"/>
        <v>Jul</v>
      </c>
      <c r="L95" s="2">
        <v>60950000</v>
      </c>
      <c r="M95" t="s">
        <v>1</v>
      </c>
      <c r="N95" s="1" t="s">
        <v>0</v>
      </c>
    </row>
    <row r="96" spans="1:14">
      <c r="A96" s="7" t="s">
        <v>326</v>
      </c>
      <c r="B96" s="5" t="s">
        <v>13</v>
      </c>
      <c r="C96" s="5">
        <v>90000195</v>
      </c>
      <c r="D96" s="6" t="s">
        <v>325</v>
      </c>
      <c r="E96" s="5" t="s">
        <v>324</v>
      </c>
      <c r="F96" s="5" t="s">
        <v>10</v>
      </c>
      <c r="G96" s="4">
        <v>1</v>
      </c>
      <c r="H96" s="1" t="s">
        <v>9</v>
      </c>
      <c r="I96" t="s">
        <v>2</v>
      </c>
      <c r="J96" s="3">
        <v>45477</v>
      </c>
      <c r="K96" s="3" t="str">
        <f t="shared" si="2"/>
        <v>Jul</v>
      </c>
      <c r="L96" s="2">
        <v>61550000</v>
      </c>
      <c r="M96" t="s">
        <v>1</v>
      </c>
      <c r="N96" s="1" t="s">
        <v>0</v>
      </c>
    </row>
    <row r="97" spans="1:14">
      <c r="A97" s="7" t="s">
        <v>323</v>
      </c>
      <c r="B97" s="5" t="s">
        <v>7</v>
      </c>
      <c r="C97" s="5">
        <v>90000196</v>
      </c>
      <c r="D97" s="6" t="s">
        <v>322</v>
      </c>
      <c r="E97" s="5" t="s">
        <v>321</v>
      </c>
      <c r="F97" s="5" t="s">
        <v>4</v>
      </c>
      <c r="G97" s="4">
        <v>5</v>
      </c>
      <c r="H97" s="1" t="s">
        <v>3</v>
      </c>
      <c r="I97" t="s">
        <v>2</v>
      </c>
      <c r="J97" s="3">
        <v>45478</v>
      </c>
      <c r="K97" s="3" t="str">
        <f t="shared" si="2"/>
        <v>Jul</v>
      </c>
      <c r="L97" s="2">
        <v>62150000</v>
      </c>
      <c r="M97" t="s">
        <v>1</v>
      </c>
      <c r="N97" s="1" t="s">
        <v>0</v>
      </c>
    </row>
    <row r="98" spans="1:14">
      <c r="A98" s="7" t="s">
        <v>320</v>
      </c>
      <c r="B98" s="5" t="s">
        <v>13</v>
      </c>
      <c r="C98" s="5">
        <v>90000197</v>
      </c>
      <c r="D98" s="6" t="s">
        <v>319</v>
      </c>
      <c r="E98" s="5" t="s">
        <v>318</v>
      </c>
      <c r="F98" s="5" t="s">
        <v>10</v>
      </c>
      <c r="G98" s="4">
        <v>2</v>
      </c>
      <c r="H98" s="1" t="s">
        <v>9</v>
      </c>
      <c r="I98" t="s">
        <v>2</v>
      </c>
      <c r="J98" s="3">
        <v>45479</v>
      </c>
      <c r="K98" s="3" t="str">
        <f t="shared" ref="K98:K129" si="3">TEXT(J98,"mmm")</f>
        <v>Jul</v>
      </c>
      <c r="L98" s="2">
        <v>62750000</v>
      </c>
      <c r="M98" t="s">
        <v>1</v>
      </c>
      <c r="N98" s="1" t="s">
        <v>0</v>
      </c>
    </row>
    <row r="99" spans="1:14">
      <c r="A99" s="7" t="s">
        <v>317</v>
      </c>
      <c r="B99" s="5" t="s">
        <v>7</v>
      </c>
      <c r="C99" s="5">
        <v>90000198</v>
      </c>
      <c r="D99" s="6" t="s">
        <v>316</v>
      </c>
      <c r="E99" s="5" t="s">
        <v>315</v>
      </c>
      <c r="F99" s="5" t="s">
        <v>4</v>
      </c>
      <c r="G99" s="4">
        <v>2</v>
      </c>
      <c r="H99" s="1" t="s">
        <v>3</v>
      </c>
      <c r="I99" t="s">
        <v>2</v>
      </c>
      <c r="J99" s="3">
        <v>45480</v>
      </c>
      <c r="K99" s="3" t="str">
        <f t="shared" si="3"/>
        <v>Jul</v>
      </c>
      <c r="L99" s="2">
        <v>63350000</v>
      </c>
      <c r="M99" t="s">
        <v>1</v>
      </c>
      <c r="N99" s="1" t="s">
        <v>0</v>
      </c>
    </row>
    <row r="100" spans="1:14">
      <c r="A100" s="7" t="s">
        <v>314</v>
      </c>
      <c r="B100" s="5" t="s">
        <v>13</v>
      </c>
      <c r="C100" s="5">
        <v>90000199</v>
      </c>
      <c r="D100" s="6" t="s">
        <v>313</v>
      </c>
      <c r="E100" s="5" t="s">
        <v>312</v>
      </c>
      <c r="F100" s="5" t="s">
        <v>10</v>
      </c>
      <c r="G100" s="4">
        <v>10</v>
      </c>
      <c r="H100" s="1" t="s">
        <v>9</v>
      </c>
      <c r="I100" t="s">
        <v>2</v>
      </c>
      <c r="J100" s="3">
        <v>45481</v>
      </c>
      <c r="K100" s="3" t="str">
        <f t="shared" si="3"/>
        <v>Jul</v>
      </c>
      <c r="L100" s="2">
        <v>63950000</v>
      </c>
      <c r="M100" t="s">
        <v>1</v>
      </c>
      <c r="N100" s="1" t="s">
        <v>0</v>
      </c>
    </row>
    <row r="101" spans="1:14">
      <c r="A101" s="7" t="s">
        <v>311</v>
      </c>
      <c r="B101" s="5" t="s">
        <v>7</v>
      </c>
      <c r="C101" s="5">
        <v>90000200</v>
      </c>
      <c r="D101" s="6" t="s">
        <v>310</v>
      </c>
      <c r="E101" s="5" t="s">
        <v>309</v>
      </c>
      <c r="F101" s="5" t="s">
        <v>4</v>
      </c>
      <c r="G101" s="4">
        <v>1</v>
      </c>
      <c r="H101" s="1" t="s">
        <v>3</v>
      </c>
      <c r="I101" t="s">
        <v>2</v>
      </c>
      <c r="J101" s="3">
        <v>45482</v>
      </c>
      <c r="K101" s="3" t="str">
        <f t="shared" si="3"/>
        <v>Jul</v>
      </c>
      <c r="L101" s="2">
        <v>64550000</v>
      </c>
      <c r="M101" t="s">
        <v>1</v>
      </c>
      <c r="N101" s="1" t="s">
        <v>0</v>
      </c>
    </row>
    <row r="102" spans="1:14">
      <c r="A102" s="7" t="s">
        <v>308</v>
      </c>
      <c r="B102" s="5" t="s">
        <v>13</v>
      </c>
      <c r="C102" s="5">
        <v>90000201</v>
      </c>
      <c r="D102" s="6" t="s">
        <v>307</v>
      </c>
      <c r="E102" s="5" t="s">
        <v>306</v>
      </c>
      <c r="F102" s="5" t="s">
        <v>10</v>
      </c>
      <c r="G102" s="4">
        <v>1</v>
      </c>
      <c r="H102" s="1" t="s">
        <v>9</v>
      </c>
      <c r="I102" t="s">
        <v>2</v>
      </c>
      <c r="J102" s="3">
        <v>45483</v>
      </c>
      <c r="K102" s="3" t="str">
        <f t="shared" si="3"/>
        <v>Jul</v>
      </c>
      <c r="L102" s="2">
        <v>65150000</v>
      </c>
      <c r="M102" t="s">
        <v>1</v>
      </c>
      <c r="N102" s="1" t="s">
        <v>0</v>
      </c>
    </row>
    <row r="103" spans="1:14">
      <c r="A103" s="7" t="s">
        <v>305</v>
      </c>
      <c r="B103" s="5" t="s">
        <v>7</v>
      </c>
      <c r="C103" s="5">
        <v>90000202</v>
      </c>
      <c r="D103" s="6" t="s">
        <v>304</v>
      </c>
      <c r="E103" s="5" t="s">
        <v>303</v>
      </c>
      <c r="F103" s="5" t="s">
        <v>4</v>
      </c>
      <c r="G103" s="4">
        <v>10</v>
      </c>
      <c r="H103" s="1" t="s">
        <v>3</v>
      </c>
      <c r="I103" t="s">
        <v>2</v>
      </c>
      <c r="J103" s="3">
        <v>45484</v>
      </c>
      <c r="K103" s="3" t="str">
        <f t="shared" si="3"/>
        <v>Jul</v>
      </c>
      <c r="L103" s="2">
        <v>65750000</v>
      </c>
      <c r="M103" t="s">
        <v>1</v>
      </c>
      <c r="N103" s="1" t="s">
        <v>0</v>
      </c>
    </row>
    <row r="104" spans="1:14">
      <c r="A104" s="7" t="s">
        <v>302</v>
      </c>
      <c r="B104" s="5" t="s">
        <v>13</v>
      </c>
      <c r="C104" s="5">
        <v>90000203</v>
      </c>
      <c r="D104" s="6" t="s">
        <v>301</v>
      </c>
      <c r="E104" s="5" t="s">
        <v>300</v>
      </c>
      <c r="F104" s="5" t="s">
        <v>10</v>
      </c>
      <c r="G104" s="4">
        <v>2</v>
      </c>
      <c r="H104" s="1" t="s">
        <v>9</v>
      </c>
      <c r="I104" t="s">
        <v>2</v>
      </c>
      <c r="J104" s="3">
        <v>45485</v>
      </c>
      <c r="K104" s="3" t="str">
        <f t="shared" si="3"/>
        <v>Jul</v>
      </c>
      <c r="L104" s="2">
        <v>66350000</v>
      </c>
      <c r="M104" t="s">
        <v>1</v>
      </c>
      <c r="N104" s="1" t="s">
        <v>0</v>
      </c>
    </row>
    <row r="105" spans="1:14">
      <c r="A105" s="7" t="s">
        <v>299</v>
      </c>
      <c r="B105" s="5" t="s">
        <v>7</v>
      </c>
      <c r="C105" s="5">
        <v>90000204</v>
      </c>
      <c r="D105" s="6" t="s">
        <v>298</v>
      </c>
      <c r="E105" s="5" t="s">
        <v>297</v>
      </c>
      <c r="F105" s="5" t="s">
        <v>4</v>
      </c>
      <c r="G105" s="4">
        <v>5</v>
      </c>
      <c r="H105" s="1" t="s">
        <v>3</v>
      </c>
      <c r="I105" t="s">
        <v>2</v>
      </c>
      <c r="J105" s="3">
        <v>45486</v>
      </c>
      <c r="K105" s="3" t="str">
        <f t="shared" si="3"/>
        <v>Jul</v>
      </c>
      <c r="L105" s="2">
        <v>66950000</v>
      </c>
      <c r="M105" t="s">
        <v>1</v>
      </c>
      <c r="N105" s="1" t="s">
        <v>0</v>
      </c>
    </row>
    <row r="106" spans="1:14">
      <c r="A106" s="7" t="s">
        <v>296</v>
      </c>
      <c r="B106" s="5" t="s">
        <v>13</v>
      </c>
      <c r="C106" s="5">
        <v>90000205</v>
      </c>
      <c r="D106" s="6" t="s">
        <v>295</v>
      </c>
      <c r="E106" s="5" t="s">
        <v>294</v>
      </c>
      <c r="F106" s="5" t="s">
        <v>10</v>
      </c>
      <c r="G106" s="4">
        <v>15</v>
      </c>
      <c r="H106" s="1" t="s">
        <v>9</v>
      </c>
      <c r="I106" t="s">
        <v>2</v>
      </c>
      <c r="J106" s="3">
        <v>45487</v>
      </c>
      <c r="K106" s="3" t="str">
        <f t="shared" si="3"/>
        <v>Jul</v>
      </c>
      <c r="L106" s="2">
        <v>67550000</v>
      </c>
      <c r="M106" t="s">
        <v>1</v>
      </c>
      <c r="N106" s="1" t="s">
        <v>0</v>
      </c>
    </row>
    <row r="107" spans="1:14">
      <c r="A107" s="7" t="s">
        <v>293</v>
      </c>
      <c r="B107" s="5" t="s">
        <v>7</v>
      </c>
      <c r="C107" s="5">
        <v>90000206</v>
      </c>
      <c r="D107" s="6" t="s">
        <v>292</v>
      </c>
      <c r="E107" s="5" t="s">
        <v>291</v>
      </c>
      <c r="F107" s="5" t="s">
        <v>4</v>
      </c>
      <c r="G107" s="4">
        <v>5</v>
      </c>
      <c r="H107" s="1" t="s">
        <v>3</v>
      </c>
      <c r="I107" t="s">
        <v>2</v>
      </c>
      <c r="J107" s="3">
        <v>45488</v>
      </c>
      <c r="K107" s="3" t="str">
        <f t="shared" si="3"/>
        <v>Jul</v>
      </c>
      <c r="L107" s="2">
        <v>68150000</v>
      </c>
      <c r="M107" t="s">
        <v>1</v>
      </c>
      <c r="N107" s="1" t="s">
        <v>0</v>
      </c>
    </row>
    <row r="108" spans="1:14">
      <c r="A108" s="7" t="s">
        <v>290</v>
      </c>
      <c r="B108" s="5" t="s">
        <v>13</v>
      </c>
      <c r="C108" s="5">
        <v>90000207</v>
      </c>
      <c r="D108" s="6" t="s">
        <v>289</v>
      </c>
      <c r="E108" s="5" t="s">
        <v>288</v>
      </c>
      <c r="F108" s="5" t="s">
        <v>10</v>
      </c>
      <c r="G108" s="4">
        <v>5</v>
      </c>
      <c r="H108" s="1" t="s">
        <v>9</v>
      </c>
      <c r="I108" t="s">
        <v>2</v>
      </c>
      <c r="J108" s="3">
        <v>45489</v>
      </c>
      <c r="K108" s="3" t="str">
        <f t="shared" si="3"/>
        <v>Jul</v>
      </c>
      <c r="L108" s="2">
        <v>68750000</v>
      </c>
      <c r="M108" t="s">
        <v>1</v>
      </c>
      <c r="N108" s="1" t="s">
        <v>0</v>
      </c>
    </row>
    <row r="109" spans="1:14">
      <c r="A109" s="7" t="s">
        <v>287</v>
      </c>
      <c r="B109" s="5" t="s">
        <v>7</v>
      </c>
      <c r="C109" s="5">
        <v>90000208</v>
      </c>
      <c r="D109" s="6" t="s">
        <v>286</v>
      </c>
      <c r="E109" s="5" t="s">
        <v>285</v>
      </c>
      <c r="F109" s="5" t="s">
        <v>4</v>
      </c>
      <c r="G109" s="4">
        <v>5</v>
      </c>
      <c r="H109" s="1" t="s">
        <v>3</v>
      </c>
      <c r="I109" t="s">
        <v>2</v>
      </c>
      <c r="J109" s="3">
        <v>45490</v>
      </c>
      <c r="K109" s="3" t="str">
        <f t="shared" si="3"/>
        <v>Jul</v>
      </c>
      <c r="L109" s="2">
        <v>69350000</v>
      </c>
      <c r="M109" t="s">
        <v>1</v>
      </c>
      <c r="N109" s="1" t="s">
        <v>0</v>
      </c>
    </row>
    <row r="110" spans="1:14">
      <c r="A110" s="7" t="s">
        <v>284</v>
      </c>
      <c r="B110" s="5" t="s">
        <v>13</v>
      </c>
      <c r="C110" s="5">
        <v>90000209</v>
      </c>
      <c r="D110" s="6" t="s">
        <v>283</v>
      </c>
      <c r="E110" s="5" t="s">
        <v>282</v>
      </c>
      <c r="F110" s="5" t="s">
        <v>10</v>
      </c>
      <c r="G110" s="4">
        <v>1</v>
      </c>
      <c r="H110" s="1" t="s">
        <v>9</v>
      </c>
      <c r="I110" t="s">
        <v>2</v>
      </c>
      <c r="J110" s="3">
        <v>45491</v>
      </c>
      <c r="K110" s="3" t="str">
        <f t="shared" si="3"/>
        <v>Jul</v>
      </c>
      <c r="L110" s="2">
        <v>69950000</v>
      </c>
      <c r="M110" t="s">
        <v>1</v>
      </c>
      <c r="N110" s="1" t="s">
        <v>0</v>
      </c>
    </row>
    <row r="111" spans="1:14">
      <c r="A111" s="7" t="s">
        <v>281</v>
      </c>
      <c r="B111" s="5" t="s">
        <v>7</v>
      </c>
      <c r="C111" s="5">
        <v>90000210</v>
      </c>
      <c r="D111" s="6" t="s">
        <v>280</v>
      </c>
      <c r="E111" s="5" t="s">
        <v>279</v>
      </c>
      <c r="F111" s="5" t="s">
        <v>4</v>
      </c>
      <c r="G111" s="4">
        <v>2</v>
      </c>
      <c r="H111" s="1" t="s">
        <v>3</v>
      </c>
      <c r="I111" t="s">
        <v>2</v>
      </c>
      <c r="J111" s="3">
        <v>45492</v>
      </c>
      <c r="K111" s="3" t="str">
        <f t="shared" si="3"/>
        <v>Jul</v>
      </c>
      <c r="L111" s="2">
        <v>70550000</v>
      </c>
      <c r="M111" t="s">
        <v>1</v>
      </c>
      <c r="N111" s="1" t="s">
        <v>0</v>
      </c>
    </row>
    <row r="112" spans="1:14">
      <c r="A112" s="7" t="s">
        <v>278</v>
      </c>
      <c r="B112" s="5" t="s">
        <v>13</v>
      </c>
      <c r="C112" s="5">
        <v>90000211</v>
      </c>
      <c r="D112" s="6" t="s">
        <v>277</v>
      </c>
      <c r="E112" s="5" t="s">
        <v>276</v>
      </c>
      <c r="F112" s="5" t="s">
        <v>10</v>
      </c>
      <c r="G112" s="4">
        <v>5</v>
      </c>
      <c r="H112" s="1" t="s">
        <v>9</v>
      </c>
      <c r="I112" t="s">
        <v>2</v>
      </c>
      <c r="J112" s="3">
        <v>45493</v>
      </c>
      <c r="K112" s="3" t="str">
        <f t="shared" si="3"/>
        <v>Jul</v>
      </c>
      <c r="L112" s="2">
        <v>71150000</v>
      </c>
      <c r="M112" t="s">
        <v>1</v>
      </c>
      <c r="N112" s="1" t="s">
        <v>0</v>
      </c>
    </row>
    <row r="113" spans="1:14">
      <c r="A113" s="7" t="s">
        <v>275</v>
      </c>
      <c r="B113" s="5" t="s">
        <v>7</v>
      </c>
      <c r="C113" s="5">
        <v>90000212</v>
      </c>
      <c r="D113" s="6" t="s">
        <v>274</v>
      </c>
      <c r="E113" s="5" t="s">
        <v>273</v>
      </c>
      <c r="F113" s="5" t="s">
        <v>4</v>
      </c>
      <c r="G113" s="4">
        <v>10</v>
      </c>
      <c r="H113" s="1" t="s">
        <v>3</v>
      </c>
      <c r="I113" t="s">
        <v>2</v>
      </c>
      <c r="J113" s="3">
        <v>45494</v>
      </c>
      <c r="K113" s="3" t="str">
        <f t="shared" si="3"/>
        <v>Jul</v>
      </c>
      <c r="L113" s="2">
        <v>71750000</v>
      </c>
      <c r="M113" t="s">
        <v>1</v>
      </c>
      <c r="N113" s="1" t="s">
        <v>0</v>
      </c>
    </row>
    <row r="114" spans="1:14">
      <c r="A114" s="7" t="s">
        <v>272</v>
      </c>
      <c r="B114" s="5" t="s">
        <v>13</v>
      </c>
      <c r="C114" s="5">
        <v>90000213</v>
      </c>
      <c r="D114" s="6" t="s">
        <v>271</v>
      </c>
      <c r="E114" s="5" t="s">
        <v>270</v>
      </c>
      <c r="F114" s="5" t="s">
        <v>10</v>
      </c>
      <c r="G114" s="4">
        <v>15</v>
      </c>
      <c r="H114" s="1" t="s">
        <v>9</v>
      </c>
      <c r="I114" t="s">
        <v>2</v>
      </c>
      <c r="J114" s="3">
        <v>45495</v>
      </c>
      <c r="K114" s="3" t="str">
        <f t="shared" si="3"/>
        <v>Jul</v>
      </c>
      <c r="L114" s="2">
        <v>72350000</v>
      </c>
      <c r="M114" t="s">
        <v>1</v>
      </c>
      <c r="N114" s="1" t="s">
        <v>0</v>
      </c>
    </row>
    <row r="115" spans="1:14">
      <c r="A115" s="7" t="s">
        <v>269</v>
      </c>
      <c r="B115" s="5" t="s">
        <v>7</v>
      </c>
      <c r="C115" s="5">
        <v>90000214</v>
      </c>
      <c r="D115" s="6" t="s">
        <v>268</v>
      </c>
      <c r="E115" s="5" t="s">
        <v>267</v>
      </c>
      <c r="F115" s="5" t="s">
        <v>4</v>
      </c>
      <c r="G115" s="4">
        <v>2</v>
      </c>
      <c r="H115" s="1" t="s">
        <v>3</v>
      </c>
      <c r="I115" t="s">
        <v>2</v>
      </c>
      <c r="J115" s="3">
        <v>45496</v>
      </c>
      <c r="K115" s="3" t="str">
        <f t="shared" si="3"/>
        <v>Jul</v>
      </c>
      <c r="L115" s="2">
        <v>72950000</v>
      </c>
      <c r="M115" t="s">
        <v>1</v>
      </c>
      <c r="N115" s="1" t="s">
        <v>0</v>
      </c>
    </row>
    <row r="116" spans="1:14">
      <c r="A116" s="7" t="s">
        <v>266</v>
      </c>
      <c r="B116" s="5" t="s">
        <v>13</v>
      </c>
      <c r="C116" s="5">
        <v>90000215</v>
      </c>
      <c r="D116" s="6" t="s">
        <v>265</v>
      </c>
      <c r="E116" s="5" t="s">
        <v>264</v>
      </c>
      <c r="F116" s="5" t="s">
        <v>10</v>
      </c>
      <c r="G116" s="4">
        <v>10</v>
      </c>
      <c r="H116" s="1" t="s">
        <v>9</v>
      </c>
      <c r="I116" t="s">
        <v>2</v>
      </c>
      <c r="J116" s="3">
        <v>45497</v>
      </c>
      <c r="K116" s="3" t="str">
        <f t="shared" si="3"/>
        <v>Jul</v>
      </c>
      <c r="L116" s="2">
        <v>73550000</v>
      </c>
      <c r="M116" t="s">
        <v>1</v>
      </c>
      <c r="N116" s="1" t="s">
        <v>0</v>
      </c>
    </row>
    <row r="117" spans="1:14">
      <c r="A117" s="7" t="s">
        <v>263</v>
      </c>
      <c r="B117" s="5" t="s">
        <v>7</v>
      </c>
      <c r="C117" s="5">
        <v>90000216</v>
      </c>
      <c r="D117" s="6" t="s">
        <v>262</v>
      </c>
      <c r="E117" s="5" t="s">
        <v>261</v>
      </c>
      <c r="F117" s="5" t="s">
        <v>4</v>
      </c>
      <c r="G117" s="4">
        <v>2</v>
      </c>
      <c r="H117" s="1" t="s">
        <v>3</v>
      </c>
      <c r="I117" t="s">
        <v>2</v>
      </c>
      <c r="J117" s="3">
        <v>45498</v>
      </c>
      <c r="K117" s="3" t="str">
        <f t="shared" si="3"/>
        <v>Jul</v>
      </c>
      <c r="L117" s="2">
        <v>74150000</v>
      </c>
      <c r="M117" t="s">
        <v>1</v>
      </c>
      <c r="N117" s="1" t="s">
        <v>0</v>
      </c>
    </row>
    <row r="118" spans="1:14">
      <c r="A118" s="7" t="s">
        <v>260</v>
      </c>
      <c r="B118" s="5" t="s">
        <v>13</v>
      </c>
      <c r="C118" s="5">
        <v>90000217</v>
      </c>
      <c r="D118" s="6" t="s">
        <v>259</v>
      </c>
      <c r="E118" s="5" t="s">
        <v>258</v>
      </c>
      <c r="F118" s="5" t="s">
        <v>10</v>
      </c>
      <c r="G118" s="4">
        <v>10</v>
      </c>
      <c r="H118" s="1" t="s">
        <v>9</v>
      </c>
      <c r="I118" t="s">
        <v>2</v>
      </c>
      <c r="J118" s="3">
        <v>45499</v>
      </c>
      <c r="K118" s="3" t="str">
        <f t="shared" si="3"/>
        <v>Jul</v>
      </c>
      <c r="L118" s="2">
        <v>74750000</v>
      </c>
      <c r="M118" t="s">
        <v>1</v>
      </c>
      <c r="N118" s="1" t="s">
        <v>0</v>
      </c>
    </row>
    <row r="119" spans="1:14">
      <c r="A119" s="7" t="s">
        <v>257</v>
      </c>
      <c r="B119" s="5" t="s">
        <v>7</v>
      </c>
      <c r="C119" s="5">
        <v>90000218</v>
      </c>
      <c r="D119" s="6" t="s">
        <v>256</v>
      </c>
      <c r="E119" s="5" t="s">
        <v>255</v>
      </c>
      <c r="F119" s="5" t="s">
        <v>4</v>
      </c>
      <c r="G119" s="4">
        <v>10</v>
      </c>
      <c r="H119" s="1" t="s">
        <v>3</v>
      </c>
      <c r="I119" t="s">
        <v>2</v>
      </c>
      <c r="J119" s="3">
        <v>45500</v>
      </c>
      <c r="K119" s="3" t="str">
        <f t="shared" si="3"/>
        <v>Jul</v>
      </c>
      <c r="L119" s="2">
        <v>75350000</v>
      </c>
      <c r="M119" t="s">
        <v>1</v>
      </c>
      <c r="N119" s="1" t="s">
        <v>0</v>
      </c>
    </row>
    <row r="120" spans="1:14">
      <c r="A120" s="7" t="s">
        <v>254</v>
      </c>
      <c r="B120" s="5" t="s">
        <v>13</v>
      </c>
      <c r="C120" s="5">
        <v>90000219</v>
      </c>
      <c r="D120" s="6" t="s">
        <v>253</v>
      </c>
      <c r="E120" s="5" t="s">
        <v>252</v>
      </c>
      <c r="F120" s="5" t="s">
        <v>10</v>
      </c>
      <c r="G120" s="4">
        <v>5</v>
      </c>
      <c r="H120" s="1" t="s">
        <v>9</v>
      </c>
      <c r="I120" t="s">
        <v>2</v>
      </c>
      <c r="J120" s="3">
        <v>45501</v>
      </c>
      <c r="K120" s="3" t="str">
        <f t="shared" si="3"/>
        <v>Jul</v>
      </c>
      <c r="L120" s="2">
        <v>75950000</v>
      </c>
      <c r="M120" t="s">
        <v>1</v>
      </c>
      <c r="N120" s="1" t="s">
        <v>0</v>
      </c>
    </row>
    <row r="121" spans="1:14">
      <c r="A121" s="7" t="s">
        <v>251</v>
      </c>
      <c r="B121" s="5" t="s">
        <v>7</v>
      </c>
      <c r="C121" s="5">
        <v>90000220</v>
      </c>
      <c r="D121" s="6" t="s">
        <v>250</v>
      </c>
      <c r="E121" s="5" t="s">
        <v>249</v>
      </c>
      <c r="F121" s="5" t="s">
        <v>4</v>
      </c>
      <c r="G121" s="4">
        <v>1</v>
      </c>
      <c r="H121" s="1" t="s">
        <v>3</v>
      </c>
      <c r="I121" t="s">
        <v>2</v>
      </c>
      <c r="J121" s="3">
        <v>45502</v>
      </c>
      <c r="K121" s="3" t="str">
        <f t="shared" si="3"/>
        <v>Jul</v>
      </c>
      <c r="L121" s="2">
        <v>76550000</v>
      </c>
      <c r="M121" t="s">
        <v>1</v>
      </c>
      <c r="N121" s="1" t="s">
        <v>0</v>
      </c>
    </row>
    <row r="122" spans="1:14">
      <c r="A122" s="7" t="s">
        <v>248</v>
      </c>
      <c r="B122" s="5" t="s">
        <v>13</v>
      </c>
      <c r="C122" s="5">
        <v>90000221</v>
      </c>
      <c r="D122" s="6" t="s">
        <v>247</v>
      </c>
      <c r="E122" s="5" t="s">
        <v>246</v>
      </c>
      <c r="F122" s="5" t="s">
        <v>10</v>
      </c>
      <c r="G122" s="4">
        <v>5</v>
      </c>
      <c r="H122" s="1" t="s">
        <v>9</v>
      </c>
      <c r="I122" t="s">
        <v>2</v>
      </c>
      <c r="J122" s="3">
        <v>45503</v>
      </c>
      <c r="K122" s="3" t="str">
        <f t="shared" si="3"/>
        <v>Jul</v>
      </c>
      <c r="L122" s="2">
        <v>77150000</v>
      </c>
      <c r="M122" t="s">
        <v>1</v>
      </c>
      <c r="N122" s="1" t="s">
        <v>0</v>
      </c>
    </row>
    <row r="123" spans="1:14">
      <c r="A123" s="7" t="s">
        <v>245</v>
      </c>
      <c r="B123" s="5" t="s">
        <v>7</v>
      </c>
      <c r="C123" s="5">
        <v>90000222</v>
      </c>
      <c r="D123" s="6" t="s">
        <v>244</v>
      </c>
      <c r="E123" s="5" t="s">
        <v>243</v>
      </c>
      <c r="F123" s="5" t="s">
        <v>4</v>
      </c>
      <c r="G123" s="4">
        <v>2</v>
      </c>
      <c r="H123" s="1" t="s">
        <v>3</v>
      </c>
      <c r="I123" t="s">
        <v>2</v>
      </c>
      <c r="J123" s="3">
        <v>45504</v>
      </c>
      <c r="K123" s="3" t="str">
        <f t="shared" si="3"/>
        <v>Jul</v>
      </c>
      <c r="L123" s="2">
        <v>77750000</v>
      </c>
      <c r="M123" t="s">
        <v>1</v>
      </c>
      <c r="N123" s="1" t="s">
        <v>0</v>
      </c>
    </row>
    <row r="124" spans="1:14">
      <c r="A124" s="7" t="s">
        <v>242</v>
      </c>
      <c r="B124" s="5" t="s">
        <v>13</v>
      </c>
      <c r="C124" s="5">
        <v>90000223</v>
      </c>
      <c r="D124" s="6" t="s">
        <v>241</v>
      </c>
      <c r="E124" s="5" t="s">
        <v>240</v>
      </c>
      <c r="F124" s="5" t="s">
        <v>10</v>
      </c>
      <c r="G124" s="4">
        <v>1</v>
      </c>
      <c r="H124" s="1" t="s">
        <v>9</v>
      </c>
      <c r="I124" t="s">
        <v>2</v>
      </c>
      <c r="J124" s="3">
        <v>45505</v>
      </c>
      <c r="K124" s="3" t="str">
        <f t="shared" si="3"/>
        <v>Aug</v>
      </c>
      <c r="L124" s="2">
        <v>78350000</v>
      </c>
      <c r="M124" t="s">
        <v>1</v>
      </c>
      <c r="N124" s="1" t="s">
        <v>0</v>
      </c>
    </row>
    <row r="125" spans="1:14">
      <c r="A125" s="7" t="s">
        <v>239</v>
      </c>
      <c r="B125" s="5" t="s">
        <v>7</v>
      </c>
      <c r="C125" s="5">
        <v>90000224</v>
      </c>
      <c r="D125" s="6" t="s">
        <v>238</v>
      </c>
      <c r="E125" s="5" t="s">
        <v>237</v>
      </c>
      <c r="F125" s="5" t="s">
        <v>4</v>
      </c>
      <c r="G125" s="4">
        <v>2</v>
      </c>
      <c r="H125" s="1" t="s">
        <v>3</v>
      </c>
      <c r="I125" t="s">
        <v>2</v>
      </c>
      <c r="J125" s="3">
        <v>45506</v>
      </c>
      <c r="K125" s="3" t="str">
        <f t="shared" si="3"/>
        <v>Aug</v>
      </c>
      <c r="L125" s="2">
        <v>78950000</v>
      </c>
      <c r="M125" t="s">
        <v>1</v>
      </c>
      <c r="N125" s="1" t="s">
        <v>0</v>
      </c>
    </row>
    <row r="126" spans="1:14">
      <c r="A126" s="7" t="s">
        <v>236</v>
      </c>
      <c r="B126" s="5" t="s">
        <v>13</v>
      </c>
      <c r="C126" s="5">
        <v>90000225</v>
      </c>
      <c r="D126" s="6" t="s">
        <v>235</v>
      </c>
      <c r="E126" s="5" t="s">
        <v>234</v>
      </c>
      <c r="F126" s="5" t="s">
        <v>10</v>
      </c>
      <c r="G126" s="4">
        <v>1</v>
      </c>
      <c r="H126" s="1" t="s">
        <v>9</v>
      </c>
      <c r="I126" t="s">
        <v>2</v>
      </c>
      <c r="J126" s="3">
        <v>45507</v>
      </c>
      <c r="K126" s="3" t="str">
        <f t="shared" si="3"/>
        <v>Aug</v>
      </c>
      <c r="L126" s="2">
        <v>79550000</v>
      </c>
      <c r="M126" t="s">
        <v>1</v>
      </c>
      <c r="N126" s="1" t="s">
        <v>0</v>
      </c>
    </row>
    <row r="127" spans="1:14">
      <c r="A127" s="7" t="s">
        <v>233</v>
      </c>
      <c r="B127" s="5" t="s">
        <v>7</v>
      </c>
      <c r="C127" s="5">
        <v>90000226</v>
      </c>
      <c r="D127" s="6" t="s">
        <v>232</v>
      </c>
      <c r="E127" s="5" t="s">
        <v>231</v>
      </c>
      <c r="F127" s="5" t="s">
        <v>4</v>
      </c>
      <c r="G127" s="4">
        <v>2</v>
      </c>
      <c r="H127" s="1" t="s">
        <v>3</v>
      </c>
      <c r="I127" t="s">
        <v>2</v>
      </c>
      <c r="J127" s="3">
        <v>45508</v>
      </c>
      <c r="K127" s="3" t="str">
        <f t="shared" si="3"/>
        <v>Aug</v>
      </c>
      <c r="L127" s="2">
        <v>80150000</v>
      </c>
      <c r="M127" t="s">
        <v>1</v>
      </c>
      <c r="N127" s="1" t="s">
        <v>0</v>
      </c>
    </row>
    <row r="128" spans="1:14">
      <c r="A128" s="7" t="s">
        <v>230</v>
      </c>
      <c r="B128" s="5" t="s">
        <v>13</v>
      </c>
      <c r="C128" s="5">
        <v>90000227</v>
      </c>
      <c r="D128" s="6" t="s">
        <v>229</v>
      </c>
      <c r="E128" s="5" t="s">
        <v>228</v>
      </c>
      <c r="F128" s="5" t="s">
        <v>10</v>
      </c>
      <c r="G128" s="4">
        <v>5</v>
      </c>
      <c r="H128" s="1" t="s">
        <v>9</v>
      </c>
      <c r="I128" t="s">
        <v>2</v>
      </c>
      <c r="J128" s="3">
        <v>45509</v>
      </c>
      <c r="K128" s="3" t="str">
        <f t="shared" si="3"/>
        <v>Aug</v>
      </c>
      <c r="L128" s="2">
        <v>80750000</v>
      </c>
      <c r="M128" t="s">
        <v>1</v>
      </c>
      <c r="N128" s="1" t="s">
        <v>0</v>
      </c>
    </row>
    <row r="129" spans="1:14">
      <c r="A129" s="7" t="s">
        <v>227</v>
      </c>
      <c r="B129" s="5" t="s">
        <v>7</v>
      </c>
      <c r="C129" s="5">
        <v>90000228</v>
      </c>
      <c r="D129" s="6" t="s">
        <v>226</v>
      </c>
      <c r="E129" s="5" t="s">
        <v>225</v>
      </c>
      <c r="F129" s="5" t="s">
        <v>4</v>
      </c>
      <c r="G129" s="4">
        <v>10</v>
      </c>
      <c r="H129" s="1" t="s">
        <v>3</v>
      </c>
      <c r="I129" t="s">
        <v>2</v>
      </c>
      <c r="J129" s="3">
        <v>45510</v>
      </c>
      <c r="K129" s="3" t="str">
        <f t="shared" si="3"/>
        <v>Aug</v>
      </c>
      <c r="L129" s="2">
        <v>81350000</v>
      </c>
      <c r="M129" t="s">
        <v>1</v>
      </c>
      <c r="N129" s="1" t="s">
        <v>0</v>
      </c>
    </row>
    <row r="130" spans="1:14">
      <c r="A130" s="7" t="s">
        <v>224</v>
      </c>
      <c r="B130" s="5" t="s">
        <v>13</v>
      </c>
      <c r="C130" s="5">
        <v>90000229</v>
      </c>
      <c r="D130" s="6" t="s">
        <v>223</v>
      </c>
      <c r="E130" s="5" t="s">
        <v>222</v>
      </c>
      <c r="F130" s="5" t="s">
        <v>10</v>
      </c>
      <c r="G130" s="4">
        <v>1</v>
      </c>
      <c r="H130" s="1" t="s">
        <v>9</v>
      </c>
      <c r="I130" t="s">
        <v>2</v>
      </c>
      <c r="J130" s="3">
        <v>45511</v>
      </c>
      <c r="K130" s="3" t="str">
        <f t="shared" ref="K130:K161" si="4">TEXT(J130,"mmm")</f>
        <v>Aug</v>
      </c>
      <c r="L130" s="2">
        <v>81950000</v>
      </c>
      <c r="M130" t="s">
        <v>1</v>
      </c>
      <c r="N130" s="1" t="s">
        <v>0</v>
      </c>
    </row>
    <row r="131" spans="1:14">
      <c r="A131" s="7" t="s">
        <v>221</v>
      </c>
      <c r="B131" s="5" t="s">
        <v>7</v>
      </c>
      <c r="C131" s="5">
        <v>90000230</v>
      </c>
      <c r="D131" s="6" t="s">
        <v>220</v>
      </c>
      <c r="E131" s="5" t="s">
        <v>219</v>
      </c>
      <c r="F131" s="5" t="s">
        <v>4</v>
      </c>
      <c r="G131" s="4">
        <v>5</v>
      </c>
      <c r="H131" s="1" t="s">
        <v>3</v>
      </c>
      <c r="I131" t="s">
        <v>2</v>
      </c>
      <c r="J131" s="3">
        <v>45512</v>
      </c>
      <c r="K131" s="3" t="str">
        <f t="shared" si="4"/>
        <v>Aug</v>
      </c>
      <c r="L131" s="2">
        <v>82550000</v>
      </c>
      <c r="M131" t="s">
        <v>1</v>
      </c>
      <c r="N131" s="1" t="s">
        <v>0</v>
      </c>
    </row>
    <row r="132" spans="1:14">
      <c r="A132" s="7" t="s">
        <v>218</v>
      </c>
      <c r="B132" s="5" t="s">
        <v>13</v>
      </c>
      <c r="C132" s="5">
        <v>90000231</v>
      </c>
      <c r="D132" s="6" t="s">
        <v>217</v>
      </c>
      <c r="E132" s="5" t="s">
        <v>216</v>
      </c>
      <c r="F132" s="5" t="s">
        <v>10</v>
      </c>
      <c r="G132" s="4">
        <v>10</v>
      </c>
      <c r="H132" s="1" t="s">
        <v>9</v>
      </c>
      <c r="I132" t="s">
        <v>2</v>
      </c>
      <c r="J132" s="3">
        <v>45513</v>
      </c>
      <c r="K132" s="3" t="str">
        <f t="shared" si="4"/>
        <v>Aug</v>
      </c>
      <c r="L132" s="2">
        <v>83150000</v>
      </c>
      <c r="M132" t="s">
        <v>1</v>
      </c>
      <c r="N132" s="1" t="s">
        <v>0</v>
      </c>
    </row>
    <row r="133" spans="1:14">
      <c r="A133" s="7" t="s">
        <v>215</v>
      </c>
      <c r="B133" s="5" t="s">
        <v>7</v>
      </c>
      <c r="C133" s="5">
        <v>90000232</v>
      </c>
      <c r="D133" s="6" t="s">
        <v>214</v>
      </c>
      <c r="E133" s="5" t="s">
        <v>213</v>
      </c>
      <c r="F133" s="5" t="s">
        <v>4</v>
      </c>
      <c r="G133" s="4">
        <v>5</v>
      </c>
      <c r="H133" s="1" t="s">
        <v>3</v>
      </c>
      <c r="I133" t="s">
        <v>2</v>
      </c>
      <c r="J133" s="3">
        <v>45514</v>
      </c>
      <c r="K133" s="3" t="str">
        <f t="shared" si="4"/>
        <v>Aug</v>
      </c>
      <c r="L133" s="2">
        <v>83750000</v>
      </c>
      <c r="M133" t="s">
        <v>1</v>
      </c>
      <c r="N133" s="1" t="s">
        <v>0</v>
      </c>
    </row>
    <row r="134" spans="1:14">
      <c r="A134" s="7" t="s">
        <v>212</v>
      </c>
      <c r="B134" s="5" t="s">
        <v>13</v>
      </c>
      <c r="C134" s="5">
        <v>90000233</v>
      </c>
      <c r="D134" s="6" t="s">
        <v>211</v>
      </c>
      <c r="E134" s="5" t="s">
        <v>210</v>
      </c>
      <c r="F134" s="5" t="s">
        <v>10</v>
      </c>
      <c r="G134" s="4">
        <v>1</v>
      </c>
      <c r="H134" s="1" t="s">
        <v>9</v>
      </c>
      <c r="I134" t="s">
        <v>2</v>
      </c>
      <c r="J134" s="3">
        <v>45515</v>
      </c>
      <c r="K134" s="3" t="str">
        <f t="shared" si="4"/>
        <v>Aug</v>
      </c>
      <c r="L134" s="2">
        <v>84350000</v>
      </c>
      <c r="M134" t="s">
        <v>1</v>
      </c>
      <c r="N134" s="1" t="s">
        <v>0</v>
      </c>
    </row>
    <row r="135" spans="1:14">
      <c r="A135" s="7" t="s">
        <v>209</v>
      </c>
      <c r="B135" s="5" t="s">
        <v>7</v>
      </c>
      <c r="C135" s="5">
        <v>90000234</v>
      </c>
      <c r="D135" s="6" t="s">
        <v>208</v>
      </c>
      <c r="E135" s="5" t="s">
        <v>207</v>
      </c>
      <c r="F135" s="5" t="s">
        <v>4</v>
      </c>
      <c r="G135" s="4">
        <v>10</v>
      </c>
      <c r="H135" s="1" t="s">
        <v>3</v>
      </c>
      <c r="I135" t="s">
        <v>2</v>
      </c>
      <c r="J135" s="3">
        <v>45516</v>
      </c>
      <c r="K135" s="3" t="str">
        <f t="shared" si="4"/>
        <v>Aug</v>
      </c>
      <c r="L135" s="2">
        <v>84950000</v>
      </c>
      <c r="M135" t="s">
        <v>1</v>
      </c>
      <c r="N135" s="1" t="s">
        <v>0</v>
      </c>
    </row>
    <row r="136" spans="1:14">
      <c r="A136" s="7" t="s">
        <v>206</v>
      </c>
      <c r="B136" s="5" t="s">
        <v>13</v>
      </c>
      <c r="C136" s="5">
        <v>90000235</v>
      </c>
      <c r="D136" s="6" t="s">
        <v>205</v>
      </c>
      <c r="E136" s="5" t="s">
        <v>204</v>
      </c>
      <c r="F136" s="5" t="s">
        <v>10</v>
      </c>
      <c r="G136" s="4">
        <v>10</v>
      </c>
      <c r="H136" s="1" t="s">
        <v>9</v>
      </c>
      <c r="I136" t="s">
        <v>2</v>
      </c>
      <c r="J136" s="3">
        <v>45517</v>
      </c>
      <c r="K136" s="3" t="str">
        <f t="shared" si="4"/>
        <v>Aug</v>
      </c>
      <c r="L136" s="2">
        <v>85550000</v>
      </c>
      <c r="M136" t="s">
        <v>1</v>
      </c>
      <c r="N136" s="1" t="s">
        <v>0</v>
      </c>
    </row>
    <row r="137" spans="1:14">
      <c r="A137" s="7" t="s">
        <v>203</v>
      </c>
      <c r="B137" s="5" t="s">
        <v>7</v>
      </c>
      <c r="C137" s="5">
        <v>90000236</v>
      </c>
      <c r="D137" s="6" t="s">
        <v>202</v>
      </c>
      <c r="E137" s="5" t="s">
        <v>201</v>
      </c>
      <c r="F137" s="5" t="s">
        <v>4</v>
      </c>
      <c r="G137" s="4">
        <v>10</v>
      </c>
      <c r="H137" s="1" t="s">
        <v>3</v>
      </c>
      <c r="I137" t="s">
        <v>2</v>
      </c>
      <c r="J137" s="3">
        <v>45518</v>
      </c>
      <c r="K137" s="3" t="str">
        <f t="shared" si="4"/>
        <v>Aug</v>
      </c>
      <c r="L137" s="2">
        <v>86150000</v>
      </c>
      <c r="M137" t="s">
        <v>1</v>
      </c>
      <c r="N137" s="1" t="s">
        <v>0</v>
      </c>
    </row>
    <row r="138" spans="1:14">
      <c r="A138" s="7" t="s">
        <v>200</v>
      </c>
      <c r="B138" s="5" t="s">
        <v>13</v>
      </c>
      <c r="C138" s="5">
        <v>90000237</v>
      </c>
      <c r="D138" s="6" t="s">
        <v>199</v>
      </c>
      <c r="E138" s="5" t="s">
        <v>198</v>
      </c>
      <c r="F138" s="5" t="s">
        <v>10</v>
      </c>
      <c r="G138" s="4">
        <v>2</v>
      </c>
      <c r="H138" s="1" t="s">
        <v>9</v>
      </c>
      <c r="I138" t="s">
        <v>2</v>
      </c>
      <c r="J138" s="3">
        <v>45519</v>
      </c>
      <c r="K138" s="3" t="str">
        <f t="shared" si="4"/>
        <v>Aug</v>
      </c>
      <c r="L138" s="2">
        <v>86750000</v>
      </c>
      <c r="M138" t="s">
        <v>1</v>
      </c>
      <c r="N138" s="1" t="s">
        <v>0</v>
      </c>
    </row>
    <row r="139" spans="1:14">
      <c r="A139" s="7" t="s">
        <v>197</v>
      </c>
      <c r="B139" s="5" t="s">
        <v>7</v>
      </c>
      <c r="C139" s="5">
        <v>90000238</v>
      </c>
      <c r="D139" s="6" t="s">
        <v>196</v>
      </c>
      <c r="E139" s="5" t="s">
        <v>195</v>
      </c>
      <c r="F139" s="5" t="s">
        <v>4</v>
      </c>
      <c r="G139" s="4">
        <v>5</v>
      </c>
      <c r="H139" s="1" t="s">
        <v>3</v>
      </c>
      <c r="I139" t="s">
        <v>2</v>
      </c>
      <c r="J139" s="3">
        <v>45520</v>
      </c>
      <c r="K139" s="3" t="str">
        <f t="shared" si="4"/>
        <v>Aug</v>
      </c>
      <c r="L139" s="2">
        <v>87350000</v>
      </c>
      <c r="M139" t="s">
        <v>1</v>
      </c>
      <c r="N139" s="1" t="s">
        <v>0</v>
      </c>
    </row>
    <row r="140" spans="1:14">
      <c r="A140" s="7" t="s">
        <v>194</v>
      </c>
      <c r="B140" s="5" t="s">
        <v>13</v>
      </c>
      <c r="C140" s="5">
        <v>90000239</v>
      </c>
      <c r="D140" s="6" t="s">
        <v>193</v>
      </c>
      <c r="E140" s="5" t="s">
        <v>192</v>
      </c>
      <c r="F140" s="5" t="s">
        <v>10</v>
      </c>
      <c r="G140" s="4">
        <v>15</v>
      </c>
      <c r="H140" s="1" t="s">
        <v>9</v>
      </c>
      <c r="I140" t="s">
        <v>2</v>
      </c>
      <c r="J140" s="3">
        <v>45521</v>
      </c>
      <c r="K140" s="3" t="str">
        <f t="shared" si="4"/>
        <v>Aug</v>
      </c>
      <c r="L140" s="2">
        <v>87950000</v>
      </c>
      <c r="M140" t="s">
        <v>1</v>
      </c>
      <c r="N140" s="1" t="s">
        <v>0</v>
      </c>
    </row>
    <row r="141" spans="1:14">
      <c r="A141" s="7" t="s">
        <v>191</v>
      </c>
      <c r="B141" s="5" t="s">
        <v>7</v>
      </c>
      <c r="C141" s="5">
        <v>90000240</v>
      </c>
      <c r="D141" s="6" t="s">
        <v>190</v>
      </c>
      <c r="E141" s="5" t="s">
        <v>189</v>
      </c>
      <c r="F141" s="5" t="s">
        <v>4</v>
      </c>
      <c r="G141" s="4">
        <v>2</v>
      </c>
      <c r="H141" s="1" t="s">
        <v>3</v>
      </c>
      <c r="I141" t="s">
        <v>2</v>
      </c>
      <c r="J141" s="3">
        <v>45522</v>
      </c>
      <c r="K141" s="3" t="str">
        <f t="shared" si="4"/>
        <v>Aug</v>
      </c>
      <c r="L141" s="2">
        <v>88550000</v>
      </c>
      <c r="M141" t="s">
        <v>1</v>
      </c>
      <c r="N141" s="1" t="s">
        <v>0</v>
      </c>
    </row>
    <row r="142" spans="1:14">
      <c r="A142" s="7" t="s">
        <v>188</v>
      </c>
      <c r="B142" s="5" t="s">
        <v>13</v>
      </c>
      <c r="C142" s="5">
        <v>90000241</v>
      </c>
      <c r="D142" s="6" t="s">
        <v>187</v>
      </c>
      <c r="E142" s="5" t="s">
        <v>186</v>
      </c>
      <c r="F142" s="5" t="s">
        <v>10</v>
      </c>
      <c r="G142" s="4">
        <v>10</v>
      </c>
      <c r="H142" s="1" t="s">
        <v>9</v>
      </c>
      <c r="I142" t="s">
        <v>2</v>
      </c>
      <c r="J142" s="3">
        <v>45523</v>
      </c>
      <c r="K142" s="3" t="str">
        <f t="shared" si="4"/>
        <v>Aug</v>
      </c>
      <c r="L142" s="2">
        <v>89150000</v>
      </c>
      <c r="M142" t="s">
        <v>1</v>
      </c>
      <c r="N142" s="1" t="s">
        <v>0</v>
      </c>
    </row>
    <row r="143" spans="1:14">
      <c r="A143" s="7" t="s">
        <v>185</v>
      </c>
      <c r="B143" s="5" t="s">
        <v>7</v>
      </c>
      <c r="C143" s="5">
        <v>90000242</v>
      </c>
      <c r="D143" s="6" t="s">
        <v>184</v>
      </c>
      <c r="E143" s="5" t="s">
        <v>183</v>
      </c>
      <c r="F143" s="5" t="s">
        <v>4</v>
      </c>
      <c r="G143" s="4">
        <v>5</v>
      </c>
      <c r="H143" s="1" t="s">
        <v>3</v>
      </c>
      <c r="I143" t="s">
        <v>2</v>
      </c>
      <c r="J143" s="3">
        <v>45524</v>
      </c>
      <c r="K143" s="3" t="str">
        <f t="shared" si="4"/>
        <v>Aug</v>
      </c>
      <c r="L143" s="2">
        <v>89750000</v>
      </c>
      <c r="M143" t="s">
        <v>1</v>
      </c>
      <c r="N143" s="1" t="s">
        <v>0</v>
      </c>
    </row>
    <row r="144" spans="1:14">
      <c r="A144" s="7" t="s">
        <v>182</v>
      </c>
      <c r="B144" s="5" t="s">
        <v>13</v>
      </c>
      <c r="C144" s="5">
        <v>90000243</v>
      </c>
      <c r="D144" s="6" t="s">
        <v>181</v>
      </c>
      <c r="E144" s="5" t="s">
        <v>180</v>
      </c>
      <c r="F144" s="5" t="s">
        <v>10</v>
      </c>
      <c r="G144" s="4">
        <v>10</v>
      </c>
      <c r="H144" s="1" t="s">
        <v>9</v>
      </c>
      <c r="I144" t="s">
        <v>2</v>
      </c>
      <c r="J144" s="3">
        <v>45525</v>
      </c>
      <c r="K144" s="3" t="str">
        <f t="shared" si="4"/>
        <v>Aug</v>
      </c>
      <c r="L144" s="2">
        <v>90350000</v>
      </c>
      <c r="M144" t="s">
        <v>1</v>
      </c>
      <c r="N144" s="1" t="s">
        <v>0</v>
      </c>
    </row>
    <row r="145" spans="1:14">
      <c r="A145" s="7" t="s">
        <v>179</v>
      </c>
      <c r="B145" s="5" t="s">
        <v>7</v>
      </c>
      <c r="C145" s="5">
        <v>90000244</v>
      </c>
      <c r="D145" s="6" t="s">
        <v>178</v>
      </c>
      <c r="E145" s="5" t="s">
        <v>177</v>
      </c>
      <c r="F145" s="5" t="s">
        <v>4</v>
      </c>
      <c r="G145" s="4">
        <v>15</v>
      </c>
      <c r="H145" s="1" t="s">
        <v>3</v>
      </c>
      <c r="I145" t="s">
        <v>2</v>
      </c>
      <c r="J145" s="3">
        <v>45526</v>
      </c>
      <c r="K145" s="3" t="str">
        <f t="shared" si="4"/>
        <v>Aug</v>
      </c>
      <c r="L145" s="2">
        <v>90950000</v>
      </c>
      <c r="M145" t="s">
        <v>1</v>
      </c>
      <c r="N145" s="1" t="s">
        <v>0</v>
      </c>
    </row>
    <row r="146" spans="1:14">
      <c r="A146" s="7" t="s">
        <v>176</v>
      </c>
      <c r="B146" s="5" t="s">
        <v>13</v>
      </c>
      <c r="C146" s="5">
        <v>90000245</v>
      </c>
      <c r="D146" s="6" t="s">
        <v>175</v>
      </c>
      <c r="E146" s="5" t="s">
        <v>174</v>
      </c>
      <c r="F146" s="5" t="s">
        <v>10</v>
      </c>
      <c r="G146" s="4">
        <v>1</v>
      </c>
      <c r="H146" s="1" t="s">
        <v>9</v>
      </c>
      <c r="I146" t="s">
        <v>2</v>
      </c>
      <c r="J146" s="3">
        <v>45527</v>
      </c>
      <c r="K146" s="3" t="str">
        <f t="shared" si="4"/>
        <v>Aug</v>
      </c>
      <c r="L146" s="2">
        <v>91550000</v>
      </c>
      <c r="M146" t="s">
        <v>1</v>
      </c>
      <c r="N146" s="1" t="s">
        <v>0</v>
      </c>
    </row>
    <row r="147" spans="1:14">
      <c r="A147" s="7" t="s">
        <v>173</v>
      </c>
      <c r="B147" s="5" t="s">
        <v>7</v>
      </c>
      <c r="C147" s="5">
        <v>90000246</v>
      </c>
      <c r="D147" s="6" t="s">
        <v>172</v>
      </c>
      <c r="E147" s="5" t="s">
        <v>171</v>
      </c>
      <c r="F147" s="5" t="s">
        <v>4</v>
      </c>
      <c r="G147" s="4">
        <v>10</v>
      </c>
      <c r="H147" s="1" t="s">
        <v>3</v>
      </c>
      <c r="I147" t="s">
        <v>2</v>
      </c>
      <c r="J147" s="3">
        <v>45528</v>
      </c>
      <c r="K147" s="3" t="str">
        <f t="shared" si="4"/>
        <v>Aug</v>
      </c>
      <c r="L147" s="2">
        <v>92150000</v>
      </c>
      <c r="M147" t="s">
        <v>1</v>
      </c>
      <c r="N147" s="1" t="s">
        <v>0</v>
      </c>
    </row>
    <row r="148" spans="1:14">
      <c r="A148" s="7" t="s">
        <v>170</v>
      </c>
      <c r="B148" s="5" t="s">
        <v>13</v>
      </c>
      <c r="C148" s="5">
        <v>90000247</v>
      </c>
      <c r="D148" s="6" t="s">
        <v>169</v>
      </c>
      <c r="E148" s="5" t="s">
        <v>168</v>
      </c>
      <c r="F148" s="5" t="s">
        <v>10</v>
      </c>
      <c r="G148" s="4">
        <v>2</v>
      </c>
      <c r="H148" s="1" t="s">
        <v>9</v>
      </c>
      <c r="I148" t="s">
        <v>2</v>
      </c>
      <c r="J148" s="3">
        <v>45529</v>
      </c>
      <c r="K148" s="3" t="str">
        <f t="shared" si="4"/>
        <v>Aug</v>
      </c>
      <c r="L148" s="2">
        <v>92750000</v>
      </c>
      <c r="M148" t="s">
        <v>1</v>
      </c>
      <c r="N148" s="1" t="s">
        <v>0</v>
      </c>
    </row>
    <row r="149" spans="1:14">
      <c r="A149" s="7" t="s">
        <v>167</v>
      </c>
      <c r="B149" s="5" t="s">
        <v>7</v>
      </c>
      <c r="C149" s="5">
        <v>90000248</v>
      </c>
      <c r="D149" s="6" t="s">
        <v>166</v>
      </c>
      <c r="E149" s="5" t="s">
        <v>165</v>
      </c>
      <c r="F149" s="5" t="s">
        <v>4</v>
      </c>
      <c r="G149" s="4">
        <v>5</v>
      </c>
      <c r="H149" s="1" t="s">
        <v>3</v>
      </c>
      <c r="I149" t="s">
        <v>2</v>
      </c>
      <c r="J149" s="3">
        <v>45530</v>
      </c>
      <c r="K149" s="3" t="str">
        <f t="shared" si="4"/>
        <v>Aug</v>
      </c>
      <c r="L149" s="2">
        <v>93350000</v>
      </c>
      <c r="M149" t="s">
        <v>1</v>
      </c>
      <c r="N149" s="1" t="s">
        <v>0</v>
      </c>
    </row>
    <row r="150" spans="1:14">
      <c r="A150" s="7" t="s">
        <v>164</v>
      </c>
      <c r="B150" s="5" t="s">
        <v>13</v>
      </c>
      <c r="C150" s="5">
        <v>90000249</v>
      </c>
      <c r="D150" s="6" t="s">
        <v>163</v>
      </c>
      <c r="E150" s="5" t="s">
        <v>162</v>
      </c>
      <c r="F150" s="5" t="s">
        <v>10</v>
      </c>
      <c r="G150" s="4">
        <v>10</v>
      </c>
      <c r="H150" s="1" t="s">
        <v>9</v>
      </c>
      <c r="I150" t="s">
        <v>2</v>
      </c>
      <c r="J150" s="3">
        <v>45531</v>
      </c>
      <c r="K150" s="3" t="str">
        <f t="shared" si="4"/>
        <v>Aug</v>
      </c>
      <c r="L150" s="2">
        <v>93950000</v>
      </c>
      <c r="M150" t="s">
        <v>1</v>
      </c>
      <c r="N150" s="1" t="s">
        <v>0</v>
      </c>
    </row>
    <row r="151" spans="1:14">
      <c r="A151" s="7" t="s">
        <v>161</v>
      </c>
      <c r="B151" s="5" t="s">
        <v>7</v>
      </c>
      <c r="C151" s="5">
        <v>90000250</v>
      </c>
      <c r="D151" s="6" t="s">
        <v>160</v>
      </c>
      <c r="E151" s="5" t="s">
        <v>159</v>
      </c>
      <c r="F151" s="5" t="s">
        <v>4</v>
      </c>
      <c r="G151" s="4">
        <v>1</v>
      </c>
      <c r="H151" s="1" t="s">
        <v>3</v>
      </c>
      <c r="I151" t="s">
        <v>2</v>
      </c>
      <c r="J151" s="3">
        <v>45532</v>
      </c>
      <c r="K151" s="3" t="str">
        <f t="shared" si="4"/>
        <v>Aug</v>
      </c>
      <c r="L151" s="2">
        <v>94550000</v>
      </c>
      <c r="M151" t="s">
        <v>1</v>
      </c>
      <c r="N151" s="1" t="s">
        <v>0</v>
      </c>
    </row>
    <row r="152" spans="1:14">
      <c r="A152" s="7" t="s">
        <v>158</v>
      </c>
      <c r="B152" s="5" t="s">
        <v>13</v>
      </c>
      <c r="C152" s="5">
        <v>90000251</v>
      </c>
      <c r="D152" s="6" t="s">
        <v>157</v>
      </c>
      <c r="E152" s="5" t="s">
        <v>156</v>
      </c>
      <c r="F152" s="5" t="s">
        <v>10</v>
      </c>
      <c r="G152" s="4">
        <v>10</v>
      </c>
      <c r="H152" s="1" t="s">
        <v>9</v>
      </c>
      <c r="I152" t="s">
        <v>2</v>
      </c>
      <c r="J152" s="3">
        <v>45533</v>
      </c>
      <c r="K152" s="3" t="str">
        <f t="shared" si="4"/>
        <v>Aug</v>
      </c>
      <c r="L152" s="2">
        <v>95150000</v>
      </c>
      <c r="M152" t="s">
        <v>1</v>
      </c>
      <c r="N152" s="1" t="s">
        <v>0</v>
      </c>
    </row>
    <row r="153" spans="1:14">
      <c r="A153" s="7" t="s">
        <v>155</v>
      </c>
      <c r="B153" s="5" t="s">
        <v>7</v>
      </c>
      <c r="C153" s="5">
        <v>90000252</v>
      </c>
      <c r="D153" s="6" t="s">
        <v>154</v>
      </c>
      <c r="E153" s="5" t="s">
        <v>153</v>
      </c>
      <c r="F153" s="5" t="s">
        <v>4</v>
      </c>
      <c r="G153" s="4">
        <v>1</v>
      </c>
      <c r="H153" s="1" t="s">
        <v>3</v>
      </c>
      <c r="I153" t="s">
        <v>2</v>
      </c>
      <c r="J153" s="3">
        <v>45534</v>
      </c>
      <c r="K153" s="3" t="str">
        <f t="shared" si="4"/>
        <v>Aug</v>
      </c>
      <c r="L153" s="2">
        <v>95750000</v>
      </c>
      <c r="M153" t="s">
        <v>1</v>
      </c>
      <c r="N153" s="1" t="s">
        <v>0</v>
      </c>
    </row>
    <row r="154" spans="1:14">
      <c r="A154" s="7" t="s">
        <v>152</v>
      </c>
      <c r="B154" s="5" t="s">
        <v>13</v>
      </c>
      <c r="C154" s="5">
        <v>90000253</v>
      </c>
      <c r="D154" s="6" t="s">
        <v>151</v>
      </c>
      <c r="E154" s="5" t="s">
        <v>150</v>
      </c>
      <c r="F154" s="5" t="s">
        <v>10</v>
      </c>
      <c r="G154" s="4">
        <v>10</v>
      </c>
      <c r="H154" s="1" t="s">
        <v>9</v>
      </c>
      <c r="I154" t="s">
        <v>2</v>
      </c>
      <c r="J154" s="3">
        <v>45535</v>
      </c>
      <c r="K154" s="3" t="str">
        <f t="shared" si="4"/>
        <v>Aug</v>
      </c>
      <c r="L154" s="2">
        <v>96350000</v>
      </c>
      <c r="M154" t="s">
        <v>1</v>
      </c>
      <c r="N154" s="1" t="s">
        <v>0</v>
      </c>
    </row>
    <row r="155" spans="1:14">
      <c r="A155" s="7" t="s">
        <v>149</v>
      </c>
      <c r="B155" s="5" t="s">
        <v>7</v>
      </c>
      <c r="C155" s="5">
        <v>90000254</v>
      </c>
      <c r="D155" s="6" t="s">
        <v>148</v>
      </c>
      <c r="E155" s="5" t="s">
        <v>147</v>
      </c>
      <c r="F155" s="5" t="s">
        <v>4</v>
      </c>
      <c r="G155" s="4">
        <v>5</v>
      </c>
      <c r="H155" s="1" t="s">
        <v>3</v>
      </c>
      <c r="I155" t="s">
        <v>2</v>
      </c>
      <c r="J155" s="3">
        <v>45536</v>
      </c>
      <c r="K155" s="3" t="str">
        <f t="shared" si="4"/>
        <v>Sep</v>
      </c>
      <c r="L155" s="2">
        <v>96950000</v>
      </c>
      <c r="M155" t="s">
        <v>1</v>
      </c>
      <c r="N155" s="1" t="s">
        <v>0</v>
      </c>
    </row>
    <row r="156" spans="1:14">
      <c r="A156" s="7" t="s">
        <v>146</v>
      </c>
      <c r="B156" s="5" t="s">
        <v>13</v>
      </c>
      <c r="C156" s="5">
        <v>90000255</v>
      </c>
      <c r="D156" s="6" t="s">
        <v>145</v>
      </c>
      <c r="E156" s="5" t="s">
        <v>144</v>
      </c>
      <c r="F156" s="5" t="s">
        <v>10</v>
      </c>
      <c r="G156" s="4">
        <v>15</v>
      </c>
      <c r="H156" s="1" t="s">
        <v>9</v>
      </c>
      <c r="I156" t="s">
        <v>2</v>
      </c>
      <c r="J156" s="3">
        <v>45537</v>
      </c>
      <c r="K156" s="3" t="str">
        <f t="shared" si="4"/>
        <v>Sep</v>
      </c>
      <c r="L156" s="2">
        <v>97550000</v>
      </c>
      <c r="M156" t="s">
        <v>1</v>
      </c>
      <c r="N156" s="1" t="s">
        <v>0</v>
      </c>
    </row>
    <row r="157" spans="1:14">
      <c r="A157" s="7" t="s">
        <v>143</v>
      </c>
      <c r="B157" s="5" t="s">
        <v>7</v>
      </c>
      <c r="C157" s="5">
        <v>90000256</v>
      </c>
      <c r="D157" s="6" t="s">
        <v>142</v>
      </c>
      <c r="E157" s="5" t="s">
        <v>141</v>
      </c>
      <c r="F157" s="5" t="s">
        <v>4</v>
      </c>
      <c r="G157" s="4">
        <v>15</v>
      </c>
      <c r="H157" s="1" t="s">
        <v>3</v>
      </c>
      <c r="I157" t="s">
        <v>2</v>
      </c>
      <c r="J157" s="3">
        <v>45538</v>
      </c>
      <c r="K157" s="3" t="str">
        <f t="shared" si="4"/>
        <v>Sep</v>
      </c>
      <c r="L157" s="2">
        <v>98150000</v>
      </c>
      <c r="M157" t="s">
        <v>1</v>
      </c>
      <c r="N157" s="1" t="s">
        <v>0</v>
      </c>
    </row>
    <row r="158" spans="1:14">
      <c r="A158" s="7" t="s">
        <v>140</v>
      </c>
      <c r="B158" s="5" t="s">
        <v>13</v>
      </c>
      <c r="C158" s="5">
        <v>90000257</v>
      </c>
      <c r="D158" s="6" t="s">
        <v>139</v>
      </c>
      <c r="E158" s="5" t="s">
        <v>138</v>
      </c>
      <c r="F158" s="5" t="s">
        <v>10</v>
      </c>
      <c r="G158" s="4">
        <v>2</v>
      </c>
      <c r="H158" s="1" t="s">
        <v>9</v>
      </c>
      <c r="I158" t="s">
        <v>2</v>
      </c>
      <c r="J158" s="3">
        <v>45539</v>
      </c>
      <c r="K158" s="3" t="str">
        <f t="shared" si="4"/>
        <v>Sep</v>
      </c>
      <c r="L158" s="2">
        <v>98750000</v>
      </c>
      <c r="M158" t="s">
        <v>1</v>
      </c>
      <c r="N158" s="1" t="s">
        <v>0</v>
      </c>
    </row>
    <row r="159" spans="1:14">
      <c r="A159" s="7" t="s">
        <v>137</v>
      </c>
      <c r="B159" s="5" t="s">
        <v>7</v>
      </c>
      <c r="C159" s="5">
        <v>90000258</v>
      </c>
      <c r="D159" s="6" t="s">
        <v>136</v>
      </c>
      <c r="E159" s="5" t="s">
        <v>135</v>
      </c>
      <c r="F159" s="5" t="s">
        <v>4</v>
      </c>
      <c r="G159" s="4">
        <v>5</v>
      </c>
      <c r="H159" s="1" t="s">
        <v>3</v>
      </c>
      <c r="I159" t="s">
        <v>2</v>
      </c>
      <c r="J159" s="3">
        <v>45540</v>
      </c>
      <c r="K159" s="3" t="str">
        <f t="shared" si="4"/>
        <v>Sep</v>
      </c>
      <c r="L159" s="2">
        <v>99350000</v>
      </c>
      <c r="M159" t="s">
        <v>1</v>
      </c>
      <c r="N159" s="1" t="s">
        <v>0</v>
      </c>
    </row>
    <row r="160" spans="1:14">
      <c r="A160" s="7" t="s">
        <v>134</v>
      </c>
      <c r="B160" s="5" t="s">
        <v>13</v>
      </c>
      <c r="C160" s="5">
        <v>90000259</v>
      </c>
      <c r="D160" s="6" t="s">
        <v>133</v>
      </c>
      <c r="E160" s="5" t="s">
        <v>132</v>
      </c>
      <c r="F160" s="5" t="s">
        <v>10</v>
      </c>
      <c r="G160" s="4">
        <v>15</v>
      </c>
      <c r="H160" s="1" t="s">
        <v>9</v>
      </c>
      <c r="I160" t="s">
        <v>2</v>
      </c>
      <c r="J160" s="3">
        <v>45541</v>
      </c>
      <c r="K160" s="3" t="str">
        <f t="shared" si="4"/>
        <v>Sep</v>
      </c>
      <c r="L160" s="2">
        <v>99950000</v>
      </c>
      <c r="M160" t="s">
        <v>1</v>
      </c>
      <c r="N160" s="1" t="s">
        <v>0</v>
      </c>
    </row>
    <row r="161" spans="1:14">
      <c r="A161" s="7" t="s">
        <v>131</v>
      </c>
      <c r="B161" s="5" t="s">
        <v>7</v>
      </c>
      <c r="C161" s="5">
        <v>90000260</v>
      </c>
      <c r="D161" s="6" t="s">
        <v>130</v>
      </c>
      <c r="E161" s="5" t="s">
        <v>129</v>
      </c>
      <c r="F161" s="5" t="s">
        <v>4</v>
      </c>
      <c r="G161" s="4">
        <v>15</v>
      </c>
      <c r="H161" s="1" t="s">
        <v>3</v>
      </c>
      <c r="I161" t="s">
        <v>2</v>
      </c>
      <c r="J161" s="3">
        <v>45542</v>
      </c>
      <c r="K161" s="3" t="str">
        <f t="shared" si="4"/>
        <v>Sep</v>
      </c>
      <c r="L161" s="2">
        <v>100550000</v>
      </c>
      <c r="M161" t="s">
        <v>1</v>
      </c>
      <c r="N161" s="1" t="s">
        <v>0</v>
      </c>
    </row>
    <row r="162" spans="1:14">
      <c r="A162" s="7" t="s">
        <v>128</v>
      </c>
      <c r="B162" s="5" t="s">
        <v>13</v>
      </c>
      <c r="C162" s="5">
        <v>90000261</v>
      </c>
      <c r="D162" s="6" t="s">
        <v>127</v>
      </c>
      <c r="E162" s="5" t="s">
        <v>126</v>
      </c>
      <c r="F162" s="5" t="s">
        <v>10</v>
      </c>
      <c r="G162" s="4">
        <v>15</v>
      </c>
      <c r="H162" s="1" t="s">
        <v>9</v>
      </c>
      <c r="I162" t="s">
        <v>2</v>
      </c>
      <c r="J162" s="3">
        <v>45543</v>
      </c>
      <c r="K162" s="3" t="str">
        <f t="shared" ref="K162:K193" si="5">TEXT(J162,"mmm")</f>
        <v>Sep</v>
      </c>
      <c r="L162" s="2">
        <v>101150000</v>
      </c>
      <c r="M162" t="s">
        <v>1</v>
      </c>
      <c r="N162" s="1" t="s">
        <v>0</v>
      </c>
    </row>
    <row r="163" spans="1:14">
      <c r="A163" s="7" t="s">
        <v>125</v>
      </c>
      <c r="B163" s="5" t="s">
        <v>7</v>
      </c>
      <c r="C163" s="5">
        <v>90000262</v>
      </c>
      <c r="D163" s="6" t="s">
        <v>124</v>
      </c>
      <c r="E163" s="5" t="s">
        <v>123</v>
      </c>
      <c r="F163" s="5" t="s">
        <v>4</v>
      </c>
      <c r="G163" s="4">
        <v>10</v>
      </c>
      <c r="H163" s="1" t="s">
        <v>3</v>
      </c>
      <c r="I163" t="s">
        <v>2</v>
      </c>
      <c r="J163" s="3">
        <v>45544</v>
      </c>
      <c r="K163" s="3" t="str">
        <f t="shared" si="5"/>
        <v>Sep</v>
      </c>
      <c r="L163" s="2">
        <v>101750000</v>
      </c>
      <c r="M163" t="s">
        <v>1</v>
      </c>
      <c r="N163" s="1" t="s">
        <v>0</v>
      </c>
    </row>
    <row r="164" spans="1:14">
      <c r="A164" s="7" t="s">
        <v>122</v>
      </c>
      <c r="B164" s="5" t="s">
        <v>13</v>
      </c>
      <c r="C164" s="5">
        <v>90000263</v>
      </c>
      <c r="D164" s="6" t="s">
        <v>121</v>
      </c>
      <c r="E164" s="5" t="s">
        <v>120</v>
      </c>
      <c r="F164" s="5" t="s">
        <v>10</v>
      </c>
      <c r="G164" s="4">
        <v>10</v>
      </c>
      <c r="H164" s="1" t="s">
        <v>9</v>
      </c>
      <c r="I164" t="s">
        <v>2</v>
      </c>
      <c r="J164" s="3">
        <v>45545</v>
      </c>
      <c r="K164" s="3" t="str">
        <f t="shared" si="5"/>
        <v>Sep</v>
      </c>
      <c r="L164" s="2">
        <v>102350000</v>
      </c>
      <c r="M164" t="s">
        <v>1</v>
      </c>
      <c r="N164" s="1" t="s">
        <v>0</v>
      </c>
    </row>
    <row r="165" spans="1:14">
      <c r="A165" s="7" t="s">
        <v>119</v>
      </c>
      <c r="B165" s="5" t="s">
        <v>7</v>
      </c>
      <c r="C165" s="5">
        <v>90000264</v>
      </c>
      <c r="D165" s="6" t="s">
        <v>118</v>
      </c>
      <c r="E165" s="5" t="s">
        <v>117</v>
      </c>
      <c r="F165" s="5" t="s">
        <v>4</v>
      </c>
      <c r="G165" s="4">
        <v>2</v>
      </c>
      <c r="H165" s="1" t="s">
        <v>3</v>
      </c>
      <c r="I165" t="s">
        <v>2</v>
      </c>
      <c r="J165" s="3">
        <v>45546</v>
      </c>
      <c r="K165" s="3" t="str">
        <f t="shared" si="5"/>
        <v>Sep</v>
      </c>
      <c r="L165" s="2">
        <v>102950000</v>
      </c>
      <c r="M165" t="s">
        <v>1</v>
      </c>
      <c r="N165" s="1" t="s">
        <v>0</v>
      </c>
    </row>
    <row r="166" spans="1:14">
      <c r="A166" s="7" t="s">
        <v>116</v>
      </c>
      <c r="B166" s="5" t="s">
        <v>13</v>
      </c>
      <c r="C166" s="5">
        <v>90000265</v>
      </c>
      <c r="D166" s="6" t="s">
        <v>115</v>
      </c>
      <c r="E166" s="5" t="s">
        <v>114</v>
      </c>
      <c r="F166" s="5" t="s">
        <v>10</v>
      </c>
      <c r="G166" s="4">
        <v>10</v>
      </c>
      <c r="H166" s="1" t="s">
        <v>9</v>
      </c>
      <c r="I166" t="s">
        <v>2</v>
      </c>
      <c r="J166" s="3">
        <v>45547</v>
      </c>
      <c r="K166" s="3" t="str">
        <f t="shared" si="5"/>
        <v>Sep</v>
      </c>
      <c r="L166" s="2">
        <v>103550000</v>
      </c>
      <c r="M166" t="s">
        <v>1</v>
      </c>
      <c r="N166" s="1" t="s">
        <v>0</v>
      </c>
    </row>
    <row r="167" spans="1:14">
      <c r="A167" s="7" t="s">
        <v>113</v>
      </c>
      <c r="B167" s="5" t="s">
        <v>7</v>
      </c>
      <c r="C167" s="5">
        <v>90000266</v>
      </c>
      <c r="D167" s="6" t="s">
        <v>112</v>
      </c>
      <c r="E167" s="5" t="s">
        <v>111</v>
      </c>
      <c r="F167" s="5" t="s">
        <v>4</v>
      </c>
      <c r="G167" s="4">
        <v>5</v>
      </c>
      <c r="H167" s="1" t="s">
        <v>3</v>
      </c>
      <c r="I167" t="s">
        <v>2</v>
      </c>
      <c r="J167" s="3">
        <v>45548</v>
      </c>
      <c r="K167" s="3" t="str">
        <f t="shared" si="5"/>
        <v>Sep</v>
      </c>
      <c r="L167" s="2">
        <v>104150000</v>
      </c>
      <c r="M167" t="s">
        <v>1</v>
      </c>
      <c r="N167" s="1" t="s">
        <v>0</v>
      </c>
    </row>
    <row r="168" spans="1:14">
      <c r="A168" s="7" t="s">
        <v>110</v>
      </c>
      <c r="B168" s="5" t="s">
        <v>13</v>
      </c>
      <c r="C168" s="5">
        <v>90000267</v>
      </c>
      <c r="D168" s="6" t="s">
        <v>109</v>
      </c>
      <c r="E168" s="5" t="s">
        <v>108</v>
      </c>
      <c r="F168" s="5" t="s">
        <v>10</v>
      </c>
      <c r="G168" s="4">
        <v>5</v>
      </c>
      <c r="H168" s="1" t="s">
        <v>9</v>
      </c>
      <c r="I168" t="s">
        <v>2</v>
      </c>
      <c r="J168" s="3">
        <v>45549</v>
      </c>
      <c r="K168" s="3" t="str">
        <f t="shared" si="5"/>
        <v>Sep</v>
      </c>
      <c r="L168" s="2">
        <v>104750000</v>
      </c>
      <c r="M168" t="s">
        <v>1</v>
      </c>
      <c r="N168" s="1" t="s">
        <v>0</v>
      </c>
    </row>
    <row r="169" spans="1:14">
      <c r="A169" s="7" t="s">
        <v>107</v>
      </c>
      <c r="B169" s="5" t="s">
        <v>7</v>
      </c>
      <c r="C169" s="5">
        <v>90000268</v>
      </c>
      <c r="D169" s="6" t="s">
        <v>106</v>
      </c>
      <c r="E169" s="5" t="s">
        <v>105</v>
      </c>
      <c r="F169" s="5" t="s">
        <v>4</v>
      </c>
      <c r="G169" s="4">
        <v>2</v>
      </c>
      <c r="H169" s="1" t="s">
        <v>3</v>
      </c>
      <c r="I169" t="s">
        <v>2</v>
      </c>
      <c r="J169" s="3">
        <v>45550</v>
      </c>
      <c r="K169" s="3" t="str">
        <f t="shared" si="5"/>
        <v>Sep</v>
      </c>
      <c r="L169" s="2">
        <v>105350000</v>
      </c>
      <c r="M169" t="s">
        <v>1</v>
      </c>
      <c r="N169" s="1" t="s">
        <v>0</v>
      </c>
    </row>
    <row r="170" spans="1:14">
      <c r="A170" s="7" t="s">
        <v>104</v>
      </c>
      <c r="B170" s="5" t="s">
        <v>13</v>
      </c>
      <c r="C170" s="5">
        <v>90000269</v>
      </c>
      <c r="D170" s="6" t="s">
        <v>103</v>
      </c>
      <c r="E170" s="5" t="s">
        <v>102</v>
      </c>
      <c r="F170" s="5" t="s">
        <v>10</v>
      </c>
      <c r="G170" s="4">
        <v>2</v>
      </c>
      <c r="H170" s="1" t="s">
        <v>9</v>
      </c>
      <c r="I170" t="s">
        <v>2</v>
      </c>
      <c r="J170" s="3">
        <v>45551</v>
      </c>
      <c r="K170" s="3" t="str">
        <f t="shared" si="5"/>
        <v>Sep</v>
      </c>
      <c r="L170" s="2">
        <v>105950000</v>
      </c>
      <c r="M170" t="s">
        <v>1</v>
      </c>
      <c r="N170" s="1" t="s">
        <v>0</v>
      </c>
    </row>
    <row r="171" spans="1:14">
      <c r="A171" s="7" t="s">
        <v>101</v>
      </c>
      <c r="B171" s="5" t="s">
        <v>7</v>
      </c>
      <c r="C171" s="5">
        <v>90000270</v>
      </c>
      <c r="D171" s="6" t="s">
        <v>100</v>
      </c>
      <c r="E171" s="5" t="s">
        <v>99</v>
      </c>
      <c r="F171" s="5" t="s">
        <v>4</v>
      </c>
      <c r="G171" s="4">
        <v>15</v>
      </c>
      <c r="H171" s="1" t="s">
        <v>3</v>
      </c>
      <c r="I171" t="s">
        <v>2</v>
      </c>
      <c r="J171" s="3">
        <v>45552</v>
      </c>
      <c r="K171" s="3" t="str">
        <f t="shared" si="5"/>
        <v>Sep</v>
      </c>
      <c r="L171" s="2">
        <v>106550000</v>
      </c>
      <c r="M171" t="s">
        <v>1</v>
      </c>
      <c r="N171" s="1" t="s">
        <v>0</v>
      </c>
    </row>
    <row r="172" spans="1:14">
      <c r="A172" s="7" t="s">
        <v>98</v>
      </c>
      <c r="B172" s="5" t="s">
        <v>13</v>
      </c>
      <c r="C172" s="5">
        <v>90000271</v>
      </c>
      <c r="D172" s="6" t="s">
        <v>97</v>
      </c>
      <c r="E172" s="5" t="s">
        <v>96</v>
      </c>
      <c r="F172" s="5" t="s">
        <v>10</v>
      </c>
      <c r="G172" s="4">
        <v>10</v>
      </c>
      <c r="H172" s="1" t="s">
        <v>9</v>
      </c>
      <c r="I172" t="s">
        <v>2</v>
      </c>
      <c r="J172" s="3">
        <v>45553</v>
      </c>
      <c r="K172" s="3" t="str">
        <f t="shared" si="5"/>
        <v>Sep</v>
      </c>
      <c r="L172" s="2">
        <v>107150000</v>
      </c>
      <c r="M172" t="s">
        <v>1</v>
      </c>
      <c r="N172" s="1" t="s">
        <v>0</v>
      </c>
    </row>
    <row r="173" spans="1:14">
      <c r="A173" s="7" t="s">
        <v>95</v>
      </c>
      <c r="B173" s="5" t="s">
        <v>7</v>
      </c>
      <c r="C173" s="5">
        <v>90000272</v>
      </c>
      <c r="D173" s="6" t="s">
        <v>94</v>
      </c>
      <c r="E173" s="5" t="s">
        <v>93</v>
      </c>
      <c r="F173" s="5" t="s">
        <v>4</v>
      </c>
      <c r="G173" s="4">
        <v>10</v>
      </c>
      <c r="H173" s="1" t="s">
        <v>3</v>
      </c>
      <c r="I173" t="s">
        <v>2</v>
      </c>
      <c r="J173" s="3">
        <v>45554</v>
      </c>
      <c r="K173" s="3" t="str">
        <f t="shared" si="5"/>
        <v>Sep</v>
      </c>
      <c r="L173" s="2">
        <v>107750000</v>
      </c>
      <c r="M173" t="s">
        <v>1</v>
      </c>
      <c r="N173" s="1" t="s">
        <v>0</v>
      </c>
    </row>
    <row r="174" spans="1:14">
      <c r="A174" s="7" t="s">
        <v>92</v>
      </c>
      <c r="B174" s="5" t="s">
        <v>13</v>
      </c>
      <c r="C174" s="5">
        <v>90000273</v>
      </c>
      <c r="D174" s="6" t="s">
        <v>91</v>
      </c>
      <c r="E174" s="5" t="s">
        <v>90</v>
      </c>
      <c r="F174" s="5" t="s">
        <v>10</v>
      </c>
      <c r="G174" s="4">
        <v>5</v>
      </c>
      <c r="H174" s="1" t="s">
        <v>9</v>
      </c>
      <c r="I174" t="s">
        <v>2</v>
      </c>
      <c r="J174" s="3">
        <v>45555</v>
      </c>
      <c r="K174" s="3" t="str">
        <f t="shared" si="5"/>
        <v>Sep</v>
      </c>
      <c r="L174" s="2">
        <v>108350000</v>
      </c>
      <c r="M174" t="s">
        <v>1</v>
      </c>
      <c r="N174" s="1" t="s">
        <v>0</v>
      </c>
    </row>
    <row r="175" spans="1:14">
      <c r="A175" s="7" t="s">
        <v>89</v>
      </c>
      <c r="B175" s="5" t="s">
        <v>7</v>
      </c>
      <c r="C175" s="5">
        <v>90000274</v>
      </c>
      <c r="D175" s="6" t="s">
        <v>88</v>
      </c>
      <c r="E175" s="5" t="s">
        <v>87</v>
      </c>
      <c r="F175" s="5" t="s">
        <v>4</v>
      </c>
      <c r="G175" s="4">
        <v>15</v>
      </c>
      <c r="H175" s="1" t="s">
        <v>3</v>
      </c>
      <c r="I175" t="s">
        <v>2</v>
      </c>
      <c r="J175" s="3">
        <v>45556</v>
      </c>
      <c r="K175" s="3" t="str">
        <f t="shared" si="5"/>
        <v>Sep</v>
      </c>
      <c r="L175" s="2">
        <v>108950000</v>
      </c>
      <c r="M175" t="s">
        <v>1</v>
      </c>
      <c r="N175" s="1" t="s">
        <v>0</v>
      </c>
    </row>
    <row r="176" spans="1:14">
      <c r="A176" s="7" t="s">
        <v>86</v>
      </c>
      <c r="B176" s="5" t="s">
        <v>13</v>
      </c>
      <c r="C176" s="5">
        <v>90000275</v>
      </c>
      <c r="D176" s="6" t="s">
        <v>85</v>
      </c>
      <c r="E176" s="5" t="s">
        <v>84</v>
      </c>
      <c r="F176" s="5" t="s">
        <v>10</v>
      </c>
      <c r="G176" s="4">
        <v>1</v>
      </c>
      <c r="H176" s="1" t="s">
        <v>9</v>
      </c>
      <c r="I176" t="s">
        <v>2</v>
      </c>
      <c r="J176" s="3">
        <v>45557</v>
      </c>
      <c r="K176" s="3" t="str">
        <f t="shared" si="5"/>
        <v>Sep</v>
      </c>
      <c r="L176" s="2">
        <v>109550000</v>
      </c>
      <c r="M176" t="s">
        <v>1</v>
      </c>
      <c r="N176" s="1" t="s">
        <v>0</v>
      </c>
    </row>
    <row r="177" spans="1:14">
      <c r="A177" s="7" t="s">
        <v>83</v>
      </c>
      <c r="B177" s="5" t="s">
        <v>7</v>
      </c>
      <c r="C177" s="5">
        <v>90000276</v>
      </c>
      <c r="D177" s="6" t="s">
        <v>82</v>
      </c>
      <c r="E177" s="5" t="s">
        <v>81</v>
      </c>
      <c r="F177" s="5" t="s">
        <v>4</v>
      </c>
      <c r="G177" s="4">
        <v>2</v>
      </c>
      <c r="H177" s="1" t="s">
        <v>3</v>
      </c>
      <c r="I177" t="s">
        <v>2</v>
      </c>
      <c r="J177" s="3">
        <v>45558</v>
      </c>
      <c r="K177" s="3" t="str">
        <f t="shared" si="5"/>
        <v>Sep</v>
      </c>
      <c r="L177" s="2">
        <v>110150000</v>
      </c>
      <c r="M177" t="s">
        <v>1</v>
      </c>
      <c r="N177" s="1" t="s">
        <v>0</v>
      </c>
    </row>
    <row r="178" spans="1:14">
      <c r="A178" s="7" t="s">
        <v>80</v>
      </c>
      <c r="B178" s="5" t="s">
        <v>13</v>
      </c>
      <c r="C178" s="5">
        <v>90000277</v>
      </c>
      <c r="D178" s="6" t="s">
        <v>79</v>
      </c>
      <c r="E178" s="5" t="s">
        <v>78</v>
      </c>
      <c r="F178" s="5" t="s">
        <v>10</v>
      </c>
      <c r="G178" s="4">
        <v>15</v>
      </c>
      <c r="H178" s="1" t="s">
        <v>9</v>
      </c>
      <c r="I178" t="s">
        <v>2</v>
      </c>
      <c r="J178" s="3">
        <v>45559</v>
      </c>
      <c r="K178" s="3" t="str">
        <f t="shared" si="5"/>
        <v>Sep</v>
      </c>
      <c r="L178" s="2">
        <v>110750000</v>
      </c>
      <c r="M178" t="s">
        <v>1</v>
      </c>
      <c r="N178" s="1" t="s">
        <v>0</v>
      </c>
    </row>
    <row r="179" spans="1:14">
      <c r="A179" s="7" t="s">
        <v>77</v>
      </c>
      <c r="B179" s="5" t="s">
        <v>7</v>
      </c>
      <c r="C179" s="5">
        <v>90000278</v>
      </c>
      <c r="D179" s="6" t="s">
        <v>76</v>
      </c>
      <c r="E179" s="5" t="s">
        <v>75</v>
      </c>
      <c r="F179" s="5" t="s">
        <v>4</v>
      </c>
      <c r="G179" s="4">
        <v>10</v>
      </c>
      <c r="H179" s="1" t="s">
        <v>3</v>
      </c>
      <c r="I179" t="s">
        <v>2</v>
      </c>
      <c r="J179" s="3">
        <v>45560</v>
      </c>
      <c r="K179" s="3" t="str">
        <f t="shared" si="5"/>
        <v>Sep</v>
      </c>
      <c r="L179" s="2">
        <v>111350000</v>
      </c>
      <c r="M179" t="s">
        <v>1</v>
      </c>
      <c r="N179" s="1" t="s">
        <v>0</v>
      </c>
    </row>
    <row r="180" spans="1:14">
      <c r="A180" s="7" t="s">
        <v>74</v>
      </c>
      <c r="B180" s="5" t="s">
        <v>13</v>
      </c>
      <c r="C180" s="5">
        <v>90000279</v>
      </c>
      <c r="D180" s="6" t="s">
        <v>73</v>
      </c>
      <c r="E180" s="5" t="s">
        <v>72</v>
      </c>
      <c r="F180" s="5" t="s">
        <v>10</v>
      </c>
      <c r="G180" s="4">
        <v>5</v>
      </c>
      <c r="H180" s="1" t="s">
        <v>9</v>
      </c>
      <c r="I180" t="s">
        <v>2</v>
      </c>
      <c r="J180" s="3">
        <v>45561</v>
      </c>
      <c r="K180" s="3" t="str">
        <f t="shared" si="5"/>
        <v>Sep</v>
      </c>
      <c r="L180" s="2">
        <v>111950000</v>
      </c>
      <c r="M180" t="s">
        <v>1</v>
      </c>
      <c r="N180" s="1" t="s">
        <v>0</v>
      </c>
    </row>
    <row r="181" spans="1:14">
      <c r="A181" s="7" t="s">
        <v>71</v>
      </c>
      <c r="B181" s="5" t="s">
        <v>7</v>
      </c>
      <c r="C181" s="5">
        <v>90000280</v>
      </c>
      <c r="D181" s="6" t="s">
        <v>70</v>
      </c>
      <c r="E181" s="5" t="s">
        <v>69</v>
      </c>
      <c r="F181" s="5" t="s">
        <v>4</v>
      </c>
      <c r="G181" s="4">
        <v>15</v>
      </c>
      <c r="H181" s="1" t="s">
        <v>3</v>
      </c>
      <c r="I181" t="s">
        <v>2</v>
      </c>
      <c r="J181" s="3">
        <v>45562</v>
      </c>
      <c r="K181" s="3" t="str">
        <f t="shared" si="5"/>
        <v>Sep</v>
      </c>
      <c r="L181" s="2">
        <v>112550000</v>
      </c>
      <c r="M181" t="s">
        <v>1</v>
      </c>
      <c r="N181" s="1" t="s">
        <v>0</v>
      </c>
    </row>
    <row r="182" spans="1:14">
      <c r="A182" s="7" t="s">
        <v>68</v>
      </c>
      <c r="B182" s="5" t="s">
        <v>13</v>
      </c>
      <c r="C182" s="5">
        <v>90000281</v>
      </c>
      <c r="D182" s="6" t="s">
        <v>67</v>
      </c>
      <c r="E182" s="5" t="s">
        <v>66</v>
      </c>
      <c r="F182" s="5" t="s">
        <v>10</v>
      </c>
      <c r="G182" s="4">
        <v>2</v>
      </c>
      <c r="H182" s="1" t="s">
        <v>9</v>
      </c>
      <c r="I182" t="s">
        <v>2</v>
      </c>
      <c r="J182" s="3">
        <v>45563</v>
      </c>
      <c r="K182" s="3" t="str">
        <f t="shared" si="5"/>
        <v>Sep</v>
      </c>
      <c r="L182" s="2">
        <v>113150000</v>
      </c>
      <c r="M182" t="s">
        <v>1</v>
      </c>
      <c r="N182" s="1" t="s">
        <v>0</v>
      </c>
    </row>
    <row r="183" spans="1:14">
      <c r="A183" s="7" t="s">
        <v>65</v>
      </c>
      <c r="B183" s="5" t="s">
        <v>7</v>
      </c>
      <c r="C183" s="5">
        <v>90000282</v>
      </c>
      <c r="D183" s="6" t="s">
        <v>64</v>
      </c>
      <c r="E183" s="5" t="s">
        <v>63</v>
      </c>
      <c r="F183" s="5" t="s">
        <v>4</v>
      </c>
      <c r="G183" s="4">
        <v>1</v>
      </c>
      <c r="H183" s="1" t="s">
        <v>3</v>
      </c>
      <c r="I183" t="s">
        <v>2</v>
      </c>
      <c r="J183" s="3">
        <v>45564</v>
      </c>
      <c r="K183" s="3" t="str">
        <f t="shared" si="5"/>
        <v>Sep</v>
      </c>
      <c r="L183" s="2">
        <v>113750000</v>
      </c>
      <c r="M183" t="s">
        <v>1</v>
      </c>
      <c r="N183" s="1" t="s">
        <v>0</v>
      </c>
    </row>
    <row r="184" spans="1:14">
      <c r="A184" s="7" t="s">
        <v>62</v>
      </c>
      <c r="B184" s="5" t="s">
        <v>13</v>
      </c>
      <c r="C184" s="5">
        <v>90000283</v>
      </c>
      <c r="D184" s="6" t="s">
        <v>61</v>
      </c>
      <c r="E184" s="5" t="s">
        <v>60</v>
      </c>
      <c r="F184" s="5" t="s">
        <v>10</v>
      </c>
      <c r="G184" s="4">
        <v>2</v>
      </c>
      <c r="H184" s="1" t="s">
        <v>9</v>
      </c>
      <c r="I184" t="s">
        <v>2</v>
      </c>
      <c r="J184" s="3">
        <v>45565</v>
      </c>
      <c r="K184" s="3" t="str">
        <f t="shared" si="5"/>
        <v>Sep</v>
      </c>
      <c r="L184" s="2">
        <v>114350000</v>
      </c>
      <c r="M184" t="s">
        <v>1</v>
      </c>
      <c r="N184" s="1" t="s">
        <v>0</v>
      </c>
    </row>
    <row r="185" spans="1:14">
      <c r="A185" s="7" t="s">
        <v>59</v>
      </c>
      <c r="B185" s="5" t="s">
        <v>7</v>
      </c>
      <c r="C185" s="5">
        <v>90000284</v>
      </c>
      <c r="D185" s="6" t="s">
        <v>58</v>
      </c>
      <c r="E185" s="5" t="s">
        <v>57</v>
      </c>
      <c r="F185" s="5" t="s">
        <v>4</v>
      </c>
      <c r="G185" s="4">
        <v>10</v>
      </c>
      <c r="H185" s="1" t="s">
        <v>3</v>
      </c>
      <c r="I185" t="s">
        <v>2</v>
      </c>
      <c r="J185" s="3">
        <v>45566</v>
      </c>
      <c r="K185" s="3" t="str">
        <f t="shared" si="5"/>
        <v>Oct</v>
      </c>
      <c r="L185" s="2">
        <v>114950000</v>
      </c>
      <c r="M185" t="s">
        <v>1</v>
      </c>
      <c r="N185" s="1" t="s">
        <v>0</v>
      </c>
    </row>
    <row r="186" spans="1:14">
      <c r="A186" s="7" t="s">
        <v>56</v>
      </c>
      <c r="B186" s="5" t="s">
        <v>13</v>
      </c>
      <c r="C186" s="5">
        <v>90000285</v>
      </c>
      <c r="D186" s="6" t="s">
        <v>55</v>
      </c>
      <c r="E186" s="5" t="s">
        <v>54</v>
      </c>
      <c r="F186" s="5" t="s">
        <v>10</v>
      </c>
      <c r="G186" s="4">
        <v>10</v>
      </c>
      <c r="H186" s="1" t="s">
        <v>9</v>
      </c>
      <c r="I186" t="s">
        <v>2</v>
      </c>
      <c r="J186" s="3">
        <v>45567</v>
      </c>
      <c r="K186" s="3" t="str">
        <f t="shared" si="5"/>
        <v>Oct</v>
      </c>
      <c r="L186" s="2">
        <v>115550000</v>
      </c>
      <c r="M186" t="s">
        <v>1</v>
      </c>
      <c r="N186" s="1" t="s">
        <v>0</v>
      </c>
    </row>
    <row r="187" spans="1:14">
      <c r="A187" s="7" t="s">
        <v>53</v>
      </c>
      <c r="B187" s="5" t="s">
        <v>7</v>
      </c>
      <c r="C187" s="5">
        <v>90000286</v>
      </c>
      <c r="D187" s="6" t="s">
        <v>52</v>
      </c>
      <c r="E187" s="5" t="s">
        <v>51</v>
      </c>
      <c r="F187" s="5" t="s">
        <v>4</v>
      </c>
      <c r="G187" s="4">
        <v>5</v>
      </c>
      <c r="H187" s="1" t="s">
        <v>3</v>
      </c>
      <c r="I187" t="s">
        <v>2</v>
      </c>
      <c r="J187" s="3">
        <v>45568</v>
      </c>
      <c r="K187" s="3" t="str">
        <f t="shared" si="5"/>
        <v>Oct</v>
      </c>
      <c r="L187" s="2">
        <v>116150000</v>
      </c>
      <c r="M187" t="s">
        <v>1</v>
      </c>
      <c r="N187" s="1" t="s">
        <v>0</v>
      </c>
    </row>
    <row r="188" spans="1:14">
      <c r="A188" s="7" t="s">
        <v>50</v>
      </c>
      <c r="B188" s="5" t="s">
        <v>13</v>
      </c>
      <c r="C188" s="5">
        <v>90000287</v>
      </c>
      <c r="D188" s="6" t="s">
        <v>49</v>
      </c>
      <c r="E188" s="5" t="s">
        <v>48</v>
      </c>
      <c r="F188" s="5" t="s">
        <v>10</v>
      </c>
      <c r="G188" s="4">
        <v>15</v>
      </c>
      <c r="H188" s="1" t="s">
        <v>9</v>
      </c>
      <c r="I188" t="s">
        <v>2</v>
      </c>
      <c r="J188" s="3">
        <v>45569</v>
      </c>
      <c r="K188" s="3" t="str">
        <f t="shared" si="5"/>
        <v>Oct</v>
      </c>
      <c r="L188" s="2">
        <v>116750000</v>
      </c>
      <c r="M188" t="s">
        <v>1</v>
      </c>
      <c r="N188" s="1" t="s">
        <v>0</v>
      </c>
    </row>
    <row r="189" spans="1:14">
      <c r="A189" s="7" t="s">
        <v>47</v>
      </c>
      <c r="B189" s="5" t="s">
        <v>7</v>
      </c>
      <c r="C189" s="5">
        <v>90000288</v>
      </c>
      <c r="D189" s="6" t="s">
        <v>46</v>
      </c>
      <c r="E189" s="5" t="s">
        <v>45</v>
      </c>
      <c r="F189" s="5" t="s">
        <v>4</v>
      </c>
      <c r="G189" s="4">
        <v>5</v>
      </c>
      <c r="H189" s="1" t="s">
        <v>3</v>
      </c>
      <c r="I189" t="s">
        <v>2</v>
      </c>
      <c r="J189" s="3">
        <v>45570</v>
      </c>
      <c r="K189" s="3" t="str">
        <f t="shared" si="5"/>
        <v>Oct</v>
      </c>
      <c r="L189" s="2">
        <v>117350000</v>
      </c>
      <c r="M189" t="s">
        <v>1</v>
      </c>
      <c r="N189" s="1" t="s">
        <v>0</v>
      </c>
    </row>
    <row r="190" spans="1:14">
      <c r="A190" s="7" t="s">
        <v>44</v>
      </c>
      <c r="B190" s="5" t="s">
        <v>13</v>
      </c>
      <c r="C190" s="5">
        <v>90000289</v>
      </c>
      <c r="D190" s="6" t="s">
        <v>43</v>
      </c>
      <c r="E190" s="5" t="s">
        <v>42</v>
      </c>
      <c r="F190" s="5" t="s">
        <v>10</v>
      </c>
      <c r="G190" s="4">
        <v>5</v>
      </c>
      <c r="H190" s="1" t="s">
        <v>9</v>
      </c>
      <c r="I190" t="s">
        <v>2</v>
      </c>
      <c r="J190" s="3">
        <v>45571</v>
      </c>
      <c r="K190" s="3" t="str">
        <f t="shared" si="5"/>
        <v>Oct</v>
      </c>
      <c r="L190" s="2">
        <v>117950000</v>
      </c>
      <c r="M190" t="s">
        <v>1</v>
      </c>
      <c r="N190" s="1" t="s">
        <v>0</v>
      </c>
    </row>
    <row r="191" spans="1:14">
      <c r="A191" s="7" t="s">
        <v>41</v>
      </c>
      <c r="B191" s="5" t="s">
        <v>7</v>
      </c>
      <c r="C191" s="5">
        <v>90000290</v>
      </c>
      <c r="D191" s="6" t="s">
        <v>40</v>
      </c>
      <c r="E191" s="5" t="s">
        <v>39</v>
      </c>
      <c r="F191" s="5" t="s">
        <v>4</v>
      </c>
      <c r="G191" s="4">
        <v>2</v>
      </c>
      <c r="H191" s="1" t="s">
        <v>3</v>
      </c>
      <c r="I191" t="s">
        <v>2</v>
      </c>
      <c r="J191" s="3">
        <v>45572</v>
      </c>
      <c r="K191" s="3" t="str">
        <f t="shared" si="5"/>
        <v>Oct</v>
      </c>
      <c r="L191" s="2">
        <v>118550000</v>
      </c>
      <c r="M191" t="s">
        <v>1</v>
      </c>
      <c r="N191" s="1" t="s">
        <v>0</v>
      </c>
    </row>
    <row r="192" spans="1:14">
      <c r="A192" s="7" t="s">
        <v>38</v>
      </c>
      <c r="B192" s="5" t="s">
        <v>13</v>
      </c>
      <c r="C192" s="5">
        <v>90000291</v>
      </c>
      <c r="D192" s="6" t="s">
        <v>37</v>
      </c>
      <c r="E192" s="5" t="s">
        <v>36</v>
      </c>
      <c r="F192" s="5" t="s">
        <v>10</v>
      </c>
      <c r="G192" s="4">
        <v>10</v>
      </c>
      <c r="H192" s="1" t="s">
        <v>9</v>
      </c>
      <c r="I192" t="s">
        <v>2</v>
      </c>
      <c r="J192" s="3">
        <v>45573</v>
      </c>
      <c r="K192" s="3" t="str">
        <f t="shared" si="5"/>
        <v>Oct</v>
      </c>
      <c r="L192" s="2">
        <v>119150000</v>
      </c>
      <c r="M192" t="s">
        <v>1</v>
      </c>
      <c r="N192" s="1" t="s">
        <v>0</v>
      </c>
    </row>
    <row r="193" spans="1:14">
      <c r="A193" s="7" t="s">
        <v>35</v>
      </c>
      <c r="B193" s="5" t="s">
        <v>7</v>
      </c>
      <c r="C193" s="5">
        <v>90000292</v>
      </c>
      <c r="D193" s="6" t="s">
        <v>34</v>
      </c>
      <c r="E193" s="5" t="s">
        <v>33</v>
      </c>
      <c r="F193" s="5" t="s">
        <v>4</v>
      </c>
      <c r="G193" s="4">
        <v>1</v>
      </c>
      <c r="H193" s="1" t="s">
        <v>3</v>
      </c>
      <c r="I193" t="s">
        <v>2</v>
      </c>
      <c r="J193" s="3">
        <v>45574</v>
      </c>
      <c r="K193" s="3" t="str">
        <f t="shared" si="5"/>
        <v>Oct</v>
      </c>
      <c r="L193" s="2">
        <v>119750000</v>
      </c>
      <c r="M193" t="s">
        <v>1</v>
      </c>
      <c r="N193" s="1" t="s">
        <v>0</v>
      </c>
    </row>
    <row r="194" spans="1:14">
      <c r="A194" s="7" t="s">
        <v>32</v>
      </c>
      <c r="B194" s="5" t="s">
        <v>13</v>
      </c>
      <c r="C194" s="5">
        <v>90000293</v>
      </c>
      <c r="D194" s="6" t="s">
        <v>31</v>
      </c>
      <c r="E194" s="5" t="s">
        <v>30</v>
      </c>
      <c r="F194" s="5" t="s">
        <v>10</v>
      </c>
      <c r="G194" s="4">
        <v>10</v>
      </c>
      <c r="H194" s="1" t="s">
        <v>9</v>
      </c>
      <c r="I194" t="s">
        <v>2</v>
      </c>
      <c r="J194" s="3">
        <v>45575</v>
      </c>
      <c r="K194" s="3" t="str">
        <f t="shared" ref="K194:K201" si="6">TEXT(J194,"mmm")</f>
        <v>Oct</v>
      </c>
      <c r="L194" s="2">
        <v>120350000</v>
      </c>
      <c r="M194" t="s">
        <v>1</v>
      </c>
      <c r="N194" s="1" t="s">
        <v>0</v>
      </c>
    </row>
    <row r="195" spans="1:14">
      <c r="A195" s="7" t="s">
        <v>29</v>
      </c>
      <c r="B195" s="5" t="s">
        <v>7</v>
      </c>
      <c r="C195" s="5">
        <v>90000294</v>
      </c>
      <c r="D195" s="6" t="s">
        <v>28</v>
      </c>
      <c r="E195" s="5" t="s">
        <v>27</v>
      </c>
      <c r="F195" s="5" t="s">
        <v>4</v>
      </c>
      <c r="G195" s="4">
        <v>1</v>
      </c>
      <c r="H195" s="1" t="s">
        <v>3</v>
      </c>
      <c r="I195" t="s">
        <v>2</v>
      </c>
      <c r="J195" s="3">
        <v>45576</v>
      </c>
      <c r="K195" s="3" t="str">
        <f t="shared" si="6"/>
        <v>Oct</v>
      </c>
      <c r="L195" s="2">
        <v>120950000</v>
      </c>
      <c r="M195" t="s">
        <v>1</v>
      </c>
      <c r="N195" s="1" t="s">
        <v>0</v>
      </c>
    </row>
    <row r="196" spans="1:14">
      <c r="A196" s="7" t="s">
        <v>26</v>
      </c>
      <c r="B196" s="5" t="s">
        <v>13</v>
      </c>
      <c r="C196" s="5">
        <v>90000295</v>
      </c>
      <c r="D196" s="6" t="s">
        <v>25</v>
      </c>
      <c r="E196" s="5" t="s">
        <v>24</v>
      </c>
      <c r="F196" s="5" t="s">
        <v>10</v>
      </c>
      <c r="G196" s="4">
        <v>15</v>
      </c>
      <c r="H196" s="1" t="s">
        <v>9</v>
      </c>
      <c r="I196" t="s">
        <v>2</v>
      </c>
      <c r="J196" s="3">
        <v>45577</v>
      </c>
      <c r="K196" s="3" t="str">
        <f t="shared" si="6"/>
        <v>Oct</v>
      </c>
      <c r="L196" s="2">
        <v>121550000</v>
      </c>
      <c r="M196" t="s">
        <v>1</v>
      </c>
      <c r="N196" s="1" t="s">
        <v>0</v>
      </c>
    </row>
    <row r="197" spans="1:14">
      <c r="A197" s="7" t="s">
        <v>23</v>
      </c>
      <c r="B197" s="5" t="s">
        <v>7</v>
      </c>
      <c r="C197" s="5">
        <v>90000296</v>
      </c>
      <c r="D197" s="6" t="s">
        <v>22</v>
      </c>
      <c r="E197" s="5" t="s">
        <v>21</v>
      </c>
      <c r="F197" s="5" t="s">
        <v>4</v>
      </c>
      <c r="G197" s="4">
        <v>15</v>
      </c>
      <c r="H197" s="1" t="s">
        <v>3</v>
      </c>
      <c r="I197" t="s">
        <v>2</v>
      </c>
      <c r="J197" s="3">
        <v>45578</v>
      </c>
      <c r="K197" s="3" t="str">
        <f t="shared" si="6"/>
        <v>Oct</v>
      </c>
      <c r="L197" s="2">
        <v>122150000</v>
      </c>
      <c r="M197" t="s">
        <v>1</v>
      </c>
      <c r="N197" s="1" t="s">
        <v>0</v>
      </c>
    </row>
    <row r="198" spans="1:14">
      <c r="A198" s="7" t="s">
        <v>20</v>
      </c>
      <c r="B198" s="5" t="s">
        <v>13</v>
      </c>
      <c r="C198" s="5">
        <v>90000297</v>
      </c>
      <c r="D198" s="6" t="s">
        <v>19</v>
      </c>
      <c r="E198" s="5" t="s">
        <v>18</v>
      </c>
      <c r="F198" s="5" t="s">
        <v>10</v>
      </c>
      <c r="G198" s="4">
        <v>2</v>
      </c>
      <c r="H198" s="1" t="s">
        <v>9</v>
      </c>
      <c r="I198" t="s">
        <v>2</v>
      </c>
      <c r="J198" s="3">
        <v>45579</v>
      </c>
      <c r="K198" s="3" t="str">
        <f t="shared" si="6"/>
        <v>Oct</v>
      </c>
      <c r="L198" s="2">
        <v>122750000</v>
      </c>
      <c r="M198" t="s">
        <v>1</v>
      </c>
      <c r="N198" s="1" t="s">
        <v>0</v>
      </c>
    </row>
    <row r="199" spans="1:14">
      <c r="A199" s="7" t="s">
        <v>17</v>
      </c>
      <c r="B199" s="5" t="s">
        <v>7</v>
      </c>
      <c r="C199" s="5">
        <v>90000298</v>
      </c>
      <c r="D199" s="6" t="s">
        <v>16</v>
      </c>
      <c r="E199" s="5" t="s">
        <v>15</v>
      </c>
      <c r="F199" s="5" t="s">
        <v>4</v>
      </c>
      <c r="G199" s="4">
        <v>1</v>
      </c>
      <c r="H199" s="1" t="s">
        <v>3</v>
      </c>
      <c r="I199" t="s">
        <v>2</v>
      </c>
      <c r="J199" s="3">
        <v>45580</v>
      </c>
      <c r="K199" s="3" t="str">
        <f t="shared" si="6"/>
        <v>Oct</v>
      </c>
      <c r="L199" s="2">
        <v>123350000</v>
      </c>
      <c r="M199" t="s">
        <v>1</v>
      </c>
      <c r="N199" s="1" t="s">
        <v>0</v>
      </c>
    </row>
    <row r="200" spans="1:14">
      <c r="A200" s="7" t="s">
        <v>14</v>
      </c>
      <c r="B200" s="5" t="s">
        <v>13</v>
      </c>
      <c r="C200" s="5">
        <v>90000299</v>
      </c>
      <c r="D200" s="6" t="s">
        <v>12</v>
      </c>
      <c r="E200" s="5" t="s">
        <v>11</v>
      </c>
      <c r="F200" s="5" t="s">
        <v>10</v>
      </c>
      <c r="G200" s="4">
        <v>10</v>
      </c>
      <c r="H200" s="1" t="s">
        <v>9</v>
      </c>
      <c r="I200" t="s">
        <v>2</v>
      </c>
      <c r="J200" s="3">
        <v>45581</v>
      </c>
      <c r="K200" s="3" t="str">
        <f t="shared" si="6"/>
        <v>Oct</v>
      </c>
      <c r="L200" s="2">
        <v>123950000</v>
      </c>
      <c r="M200" t="s">
        <v>1</v>
      </c>
      <c r="N200" s="1" t="s">
        <v>0</v>
      </c>
    </row>
    <row r="201" spans="1:14">
      <c r="A201" s="7" t="s">
        <v>8</v>
      </c>
      <c r="B201" s="5" t="s">
        <v>7</v>
      </c>
      <c r="C201" s="5">
        <v>90000300</v>
      </c>
      <c r="D201" s="6" t="s">
        <v>6</v>
      </c>
      <c r="E201" s="5" t="s">
        <v>5</v>
      </c>
      <c r="F201" s="5" t="s">
        <v>4</v>
      </c>
      <c r="G201" s="4">
        <v>5</v>
      </c>
      <c r="H201" s="1" t="s">
        <v>3</v>
      </c>
      <c r="I201" t="s">
        <v>2</v>
      </c>
      <c r="J201" s="3">
        <v>45582</v>
      </c>
      <c r="K201" s="3" t="str">
        <f t="shared" si="6"/>
        <v>Oct</v>
      </c>
      <c r="L201" s="2">
        <v>124550000</v>
      </c>
      <c r="M201" t="s">
        <v>1</v>
      </c>
      <c r="N201" s="1" t="s">
        <v>0</v>
      </c>
    </row>
    <row r="202" spans="1:14">
      <c r="A202" s="7"/>
      <c r="B202" s="5"/>
      <c r="C202" s="5"/>
      <c r="D202" s="23"/>
      <c r="G202" s="24"/>
      <c r="H202" s="1"/>
      <c r="J202" s="3"/>
      <c r="K202" s="3"/>
      <c r="L202" s="2"/>
    </row>
  </sheetData>
  <hyperlinks>
    <hyperlink ref="D2" r:id="rId1" xr:uid="{1900B2ED-68AD-4BA3-AA24-7253108BC0CC}"/>
    <hyperlink ref="D3" r:id="rId2" xr:uid="{DF1CB4D6-0DDD-4979-9D06-C11ED8044810}"/>
    <hyperlink ref="D4" r:id="rId3" xr:uid="{62450673-CC5D-4D1B-AF24-43B9B5D7B2B0}"/>
    <hyperlink ref="D5" r:id="rId4" xr:uid="{AAE21BFF-F25B-435E-931D-F7F955B461F5}"/>
    <hyperlink ref="D6" r:id="rId5" xr:uid="{84D11D5F-55D5-46FE-8526-FAA985A52BA0}"/>
    <hyperlink ref="D7" r:id="rId6" xr:uid="{B5892A0A-9767-49B6-922F-0A7B64F4DF39}"/>
    <hyperlink ref="D8" r:id="rId7" xr:uid="{190706F9-C932-4A57-86FC-14AAA61CCF99}"/>
    <hyperlink ref="D9" r:id="rId8" xr:uid="{D93DDC23-93E6-4EE5-962A-A3CC5787CFEF}"/>
    <hyperlink ref="D10" r:id="rId9" xr:uid="{615B0B83-D335-4C7B-92B5-D7CF330BE341}"/>
    <hyperlink ref="D11" r:id="rId10" xr:uid="{B463804B-753E-4762-9E91-7D728C0B8DE7}"/>
    <hyperlink ref="D12" r:id="rId11" xr:uid="{7FCDB0B1-031E-4BEA-BD92-02C5ABFDA808}"/>
    <hyperlink ref="D13" r:id="rId12" xr:uid="{D9399CB1-597C-49AD-AE43-AC33B44449CD}"/>
    <hyperlink ref="D14" r:id="rId13" xr:uid="{E10D048D-5324-491D-96EC-B7082DAB7480}"/>
    <hyperlink ref="D15" r:id="rId14" xr:uid="{A9AE2B8D-EDE4-4B7C-BB62-7C05434E2234}"/>
    <hyperlink ref="D16" r:id="rId15" xr:uid="{391AA73D-8C27-403B-85C4-8CFAB312B5E1}"/>
    <hyperlink ref="D17" r:id="rId16" xr:uid="{E107E09E-A7B8-4256-8A87-7E29434357D1}"/>
    <hyperlink ref="D18" r:id="rId17" xr:uid="{0F96CE92-7DF6-4AC4-8D64-405E68E27A44}"/>
    <hyperlink ref="D19" r:id="rId18" xr:uid="{E16CFF32-925B-4446-A3D9-C1F25B3E4D06}"/>
    <hyperlink ref="D20" r:id="rId19" xr:uid="{1A64CD6E-5A31-40A0-B97F-5AD20D71D2E0}"/>
    <hyperlink ref="D21" r:id="rId20" xr:uid="{33116315-CF62-42BF-9E4B-4D23FAD8FF33}"/>
    <hyperlink ref="D22" r:id="rId21" xr:uid="{FD5F0BE4-59D7-469E-85D5-0F7901346599}"/>
    <hyperlink ref="D23" r:id="rId22" xr:uid="{77C32832-54A5-4CC3-B507-4D78345721ED}"/>
    <hyperlink ref="D24" r:id="rId23" xr:uid="{0BFE532A-BD4F-4869-B9AD-02E63BC79EE8}"/>
    <hyperlink ref="D25" r:id="rId24" xr:uid="{8E62EE1B-5567-4533-AFB4-8DE51AAB4C1E}"/>
    <hyperlink ref="D26" r:id="rId25" xr:uid="{D343F672-D111-448C-8C89-D5BF852255D7}"/>
    <hyperlink ref="D27" r:id="rId26" xr:uid="{36E3974E-8E00-4E23-88C7-1E6B271B6304}"/>
    <hyperlink ref="D28" r:id="rId27" xr:uid="{EE3FD3AD-C0E6-4B57-98C9-187F838F6778}"/>
    <hyperlink ref="D29" r:id="rId28" xr:uid="{600E3373-E2C4-462F-904F-F7EFF5714D43}"/>
    <hyperlink ref="D30" r:id="rId29" xr:uid="{C69DC979-526B-478E-8ECC-9A99E3381A2D}"/>
    <hyperlink ref="D31" r:id="rId30" xr:uid="{0AF2E9BC-0D83-4963-8C37-2286712273AD}"/>
    <hyperlink ref="D32" r:id="rId31" xr:uid="{98D4CB8F-2A31-450E-8E66-38EA7547DE69}"/>
    <hyperlink ref="D33" r:id="rId32" xr:uid="{39C920E4-73E1-4F3A-90D9-095EF81308BB}"/>
    <hyperlink ref="D34" r:id="rId33" xr:uid="{E5D2821B-6699-4DBD-8C78-5C95DDA68596}"/>
    <hyperlink ref="D35" r:id="rId34" xr:uid="{C5F3E4DB-E755-421E-BC04-C8F70FCBB359}"/>
    <hyperlink ref="D36" r:id="rId35" xr:uid="{716A62C1-F401-4D02-A63E-C13F07A2330A}"/>
    <hyperlink ref="D37" r:id="rId36" xr:uid="{84FAFD05-C25B-4F24-9E7E-42FCEABE858F}"/>
    <hyperlink ref="D38" r:id="rId37" xr:uid="{90FAA11F-1F3F-4437-86CE-86008719F8F8}"/>
    <hyperlink ref="D39" r:id="rId38" xr:uid="{E0006145-E8F2-4CAD-84E2-986C7AB57FAD}"/>
    <hyperlink ref="D40" r:id="rId39" xr:uid="{70032F5A-3066-419F-9D8E-C4749E408AEA}"/>
    <hyperlink ref="D41" r:id="rId40" xr:uid="{7BD67559-5063-4A3C-A352-916E6BEECC26}"/>
    <hyperlink ref="D42" r:id="rId41" xr:uid="{FDD7B05F-6A14-4728-8821-4864CA08BA1A}"/>
    <hyperlink ref="D43" r:id="rId42" xr:uid="{EE646043-416F-4868-9EC8-80C11451411F}"/>
    <hyperlink ref="D44" r:id="rId43" xr:uid="{5A07775E-82BA-486F-B15F-520C8048BEDD}"/>
    <hyperlink ref="D45" r:id="rId44" xr:uid="{8C8A9669-E6C0-4F88-83F3-37893CE159F5}"/>
    <hyperlink ref="D46" r:id="rId45" xr:uid="{4BCA0653-2CF4-4FDB-8B0F-64E6DB2E9C76}"/>
    <hyperlink ref="D47" r:id="rId46" xr:uid="{80284D0C-33F8-4ADC-96FF-F15CF40DB654}"/>
    <hyperlink ref="D48" r:id="rId47" xr:uid="{D83A26BB-CBE6-4C02-AD5A-624CF191694F}"/>
    <hyperlink ref="D49" r:id="rId48" xr:uid="{F0B96B67-8CFB-404A-84E3-C28D2F9DBEF3}"/>
    <hyperlink ref="D50" r:id="rId49" xr:uid="{A9491B87-82BB-4364-A5D0-A3290C0B25FB}"/>
    <hyperlink ref="D51" r:id="rId50" xr:uid="{9F7B22E8-E71D-44C5-97F3-B7EA627BB011}"/>
    <hyperlink ref="D52" r:id="rId51" xr:uid="{5A618C31-54D9-4876-81CB-B1367E0ED805}"/>
    <hyperlink ref="D53" r:id="rId52" xr:uid="{97E791F7-FBD1-4051-994C-B186E01CD748}"/>
    <hyperlink ref="D54" r:id="rId53" xr:uid="{E818678A-3B15-422F-B430-7302A5FBED1F}"/>
    <hyperlink ref="D55" r:id="rId54" xr:uid="{6751538D-AF61-4EDD-B7EF-F410CD860FE6}"/>
    <hyperlink ref="D56" r:id="rId55" xr:uid="{93BDFBC5-2061-4D19-8B3C-77BF081592BA}"/>
    <hyperlink ref="D57" r:id="rId56" xr:uid="{3C7390D0-ACFF-4149-9847-E6698E8CC08A}"/>
    <hyperlink ref="D58" r:id="rId57" xr:uid="{E7435AE0-E027-4EED-96C5-9A5A110308D2}"/>
    <hyperlink ref="D59" r:id="rId58" xr:uid="{AEB128F7-C6C0-43E6-984E-54647E4CC7C0}"/>
    <hyperlink ref="D60" r:id="rId59" xr:uid="{1AA43B4D-17A9-4669-9699-648CFD4339CF}"/>
    <hyperlink ref="D61" r:id="rId60" xr:uid="{A0E66AC1-E4D2-46AC-A76D-7E085233DA09}"/>
    <hyperlink ref="D62" r:id="rId61" xr:uid="{451C2BD2-0583-4675-95E0-404304830981}"/>
    <hyperlink ref="D63" r:id="rId62" xr:uid="{45C215AD-FE43-4549-B6E7-784FAE914FBB}"/>
    <hyperlink ref="D64" r:id="rId63" xr:uid="{D433E3EC-8EF6-47AA-AA6F-0D4633D77CF6}"/>
    <hyperlink ref="D65" r:id="rId64" xr:uid="{91DF895F-10FC-40D4-A8A4-F71EDB47EF16}"/>
    <hyperlink ref="D66" r:id="rId65" xr:uid="{1D19B052-BEDF-436F-8FA5-7DBD929DB36A}"/>
    <hyperlink ref="D67" r:id="rId66" xr:uid="{38BE704E-8DC3-49F5-A0FF-0F4772173C2D}"/>
    <hyperlink ref="D68" r:id="rId67" xr:uid="{934A2D75-4562-49A3-95E9-AD09959C7C8C}"/>
    <hyperlink ref="D69" r:id="rId68" xr:uid="{B9AB8D83-9E06-4AAA-884F-699F7D5771FE}"/>
    <hyperlink ref="D70" r:id="rId69" xr:uid="{07A3A696-55B6-4F8F-B1B9-74D5F76030A4}"/>
    <hyperlink ref="D71" r:id="rId70" xr:uid="{7AF2070E-8C13-428F-A40D-41F24643FD39}"/>
    <hyperlink ref="D72" r:id="rId71" xr:uid="{F1BA64AB-E1FE-4B62-98ED-7672327FBE7F}"/>
    <hyperlink ref="D73" r:id="rId72" xr:uid="{132D6C6A-B656-4E0A-BFC6-B869E4518B4C}"/>
    <hyperlink ref="D74" r:id="rId73" xr:uid="{1555069E-A87E-44ED-8550-868C82777433}"/>
    <hyperlink ref="D75" r:id="rId74" xr:uid="{AAEAAC30-0923-441D-8650-C4F8BC0C384C}"/>
    <hyperlink ref="D76" r:id="rId75" xr:uid="{307EBAEB-CEC1-41FD-BE33-05F7DEA531D6}"/>
    <hyperlink ref="D77" r:id="rId76" xr:uid="{87771C0E-8B62-4340-B63D-E4701BDD0509}"/>
    <hyperlink ref="D78" r:id="rId77" xr:uid="{42C83640-9285-4599-98CC-E52D0DDE5C8E}"/>
    <hyperlink ref="D79" r:id="rId78" xr:uid="{114EF3E8-564A-4EDA-ABC2-2B002EA54854}"/>
    <hyperlink ref="D80" r:id="rId79" xr:uid="{FD847ACD-ACA8-49BA-921B-4A2C97D33776}"/>
    <hyperlink ref="D81" r:id="rId80" xr:uid="{AF070A07-D165-4F54-9D4F-7D12B7B29F03}"/>
    <hyperlink ref="D82" r:id="rId81" xr:uid="{9F853CBB-4B0C-4C52-809C-25D378337435}"/>
    <hyperlink ref="D83" r:id="rId82" xr:uid="{B9D5BF7C-5248-46F9-A219-37E5735F2F63}"/>
    <hyperlink ref="D84" r:id="rId83" xr:uid="{677CD5C7-F987-4525-95C9-3A74B856431E}"/>
    <hyperlink ref="D85" r:id="rId84" xr:uid="{FF3CFF85-C293-47D8-BC03-39B02EA620DB}"/>
    <hyperlink ref="D86" r:id="rId85" xr:uid="{A52ADCDD-9F7C-490E-8CEE-208AC968F05F}"/>
    <hyperlink ref="D87" r:id="rId86" xr:uid="{40DE403F-A737-4625-BE85-9EB75D9D9842}"/>
    <hyperlink ref="D88" r:id="rId87" xr:uid="{9CAEE333-9D51-4D2F-B5D9-C94BEF81EB2A}"/>
    <hyperlink ref="D89" r:id="rId88" xr:uid="{FBBE31FE-8851-4681-B264-E20E03CE46FA}"/>
    <hyperlink ref="D90" r:id="rId89" xr:uid="{BDE9604F-8032-4ED2-80F9-2F31B1760FAA}"/>
    <hyperlink ref="D91" r:id="rId90" xr:uid="{972560D3-BA4D-425B-B6C9-3D296A109885}"/>
    <hyperlink ref="D92" r:id="rId91" xr:uid="{E91ADC81-3719-429D-B0B4-6EE9E2069785}"/>
    <hyperlink ref="D93" r:id="rId92" xr:uid="{CF961223-6D64-4551-990B-81863C8874EC}"/>
    <hyperlink ref="D94" r:id="rId93" xr:uid="{F034651B-94FE-48BB-A7E2-C6AA2372D68C}"/>
    <hyperlink ref="D95" r:id="rId94" xr:uid="{71F32645-2350-4FC5-9D5C-3CAF55BDDE84}"/>
    <hyperlink ref="D96" r:id="rId95" xr:uid="{82D8F73B-55F5-4DC2-9632-AE161DE6A5A0}"/>
    <hyperlink ref="D97" r:id="rId96" xr:uid="{0BB9B6CF-F436-4178-974E-6F480E53268F}"/>
    <hyperlink ref="D98" r:id="rId97" xr:uid="{AE464BC2-CF25-43FC-872C-41264E0444B4}"/>
    <hyperlink ref="D99" r:id="rId98" xr:uid="{9264C8A6-4AA8-44A7-9947-272FDEAC20C5}"/>
    <hyperlink ref="D100" r:id="rId99" xr:uid="{DAA5EFFE-72B5-4F8C-A326-A3309E461E34}"/>
    <hyperlink ref="D101" r:id="rId100" xr:uid="{FBC16423-3F67-4342-883E-44D5CC6206D5}"/>
    <hyperlink ref="D102" r:id="rId101" xr:uid="{624DC1F4-4050-4E17-A48C-EE85A39C76B0}"/>
    <hyperlink ref="D103" r:id="rId102" xr:uid="{E1C87BA2-9919-46F2-8248-617DC5116E1F}"/>
    <hyperlink ref="D104" r:id="rId103" xr:uid="{0D0E7784-6569-4F4C-A9C4-BEA3AB914EBE}"/>
    <hyperlink ref="D105" r:id="rId104" xr:uid="{48C22642-0AA9-4CD4-8EC6-2B88D74F86AD}"/>
    <hyperlink ref="D106" r:id="rId105" xr:uid="{356EF89E-E04B-4FAC-8105-2ABF378B67D2}"/>
    <hyperlink ref="D107" r:id="rId106" xr:uid="{685ECD33-B96D-495A-A878-F3A3B383CD96}"/>
    <hyperlink ref="D108" r:id="rId107" xr:uid="{E3D85E20-6004-47AD-9582-6696F1A65A01}"/>
    <hyperlink ref="D109" r:id="rId108" xr:uid="{B2453992-C6FD-4F8E-8072-3C11BF6ABB91}"/>
    <hyperlink ref="D110" r:id="rId109" xr:uid="{04D4B2E2-27EC-4779-9937-629B40F2326B}"/>
    <hyperlink ref="D111" r:id="rId110" xr:uid="{EEB7AEE7-918A-464B-84D8-1900EE3AABC9}"/>
    <hyperlink ref="D112" r:id="rId111" xr:uid="{7BA14F4F-8674-4B5B-AE88-FF2F2827C1C8}"/>
    <hyperlink ref="D113" r:id="rId112" xr:uid="{7D6BF8E3-726D-4B11-9FF8-FF546FFB35B0}"/>
    <hyperlink ref="D114" r:id="rId113" xr:uid="{36E135E6-84DE-4339-ABCE-4D78369809BB}"/>
    <hyperlink ref="D115" r:id="rId114" xr:uid="{732E8964-FF3B-4F93-959E-09A7D90ADD85}"/>
    <hyperlink ref="D116" r:id="rId115" xr:uid="{6949EA48-D417-455E-A9A6-7B5AFE56CA3E}"/>
    <hyperlink ref="D117" r:id="rId116" xr:uid="{17ECCE52-97D2-437C-9F93-C122F4555966}"/>
    <hyperlink ref="D118" r:id="rId117" xr:uid="{1B8E9928-9DF0-438D-AC96-87205AD1C781}"/>
    <hyperlink ref="D119" r:id="rId118" xr:uid="{EE9DFBD5-7F28-4FAD-8AB0-22EBD0798FFD}"/>
    <hyperlink ref="D120" r:id="rId119" xr:uid="{AE393477-E94F-4502-8C63-D9429F087C9E}"/>
    <hyperlink ref="D121" r:id="rId120" xr:uid="{53CBB898-CB68-401B-BBD5-BC1AAA5A4D6E}"/>
    <hyperlink ref="D122" r:id="rId121" xr:uid="{4BCDB8D4-316D-474C-92BC-0238D5002F0E}"/>
    <hyperlink ref="D123" r:id="rId122" xr:uid="{8911239A-1AC2-4948-8F84-25F50A64145A}"/>
    <hyperlink ref="D124" r:id="rId123" xr:uid="{4DF3FA84-F35E-4840-B923-07D44244649B}"/>
    <hyperlink ref="D125" r:id="rId124" xr:uid="{ADFE3285-EC75-4FD2-B4F1-8FA9EF76467A}"/>
    <hyperlink ref="D126" r:id="rId125" xr:uid="{708248B5-F059-4DE3-AE86-7B445BAB0434}"/>
    <hyperlink ref="D127" r:id="rId126" xr:uid="{0275F1FB-E027-4753-8FB8-3FF986BE1D09}"/>
    <hyperlink ref="D128" r:id="rId127" xr:uid="{CEBFBA50-B20D-40AE-8340-6D10BCD9197D}"/>
    <hyperlink ref="D129" r:id="rId128" xr:uid="{4471C20E-C5FB-4143-9700-F3855C8C635C}"/>
    <hyperlink ref="D130" r:id="rId129" xr:uid="{342D5B61-6FEA-4EC4-A135-C9604838CDBC}"/>
    <hyperlink ref="D131" r:id="rId130" xr:uid="{8C4499B2-B0FC-46C2-9550-32EC6E57C9AB}"/>
    <hyperlink ref="D132" r:id="rId131" xr:uid="{DD75EB9C-C186-4C3C-8ED8-689A3B903E4B}"/>
    <hyperlink ref="D133" r:id="rId132" xr:uid="{5FCD9673-83DF-445B-80B4-713C21FBDFFA}"/>
    <hyperlink ref="D134" r:id="rId133" xr:uid="{24BFB4C8-3D75-4356-B078-1C02687EF883}"/>
    <hyperlink ref="D135" r:id="rId134" xr:uid="{9BFBB188-3E25-4452-9BE5-467E3D08723C}"/>
    <hyperlink ref="D136" r:id="rId135" xr:uid="{FB341DED-97DB-40BE-89AB-A51E1A8CF396}"/>
    <hyperlink ref="D137" r:id="rId136" xr:uid="{6DE1BDCD-B80E-493B-A30D-D0A989B2E7B5}"/>
    <hyperlink ref="D138" r:id="rId137" xr:uid="{3EDBDD79-4DB5-4757-AF89-874E93D7E3A5}"/>
    <hyperlink ref="D139" r:id="rId138" xr:uid="{18F0CE3B-89E8-41BD-BD5D-307A3A92A801}"/>
    <hyperlink ref="D140" r:id="rId139" xr:uid="{D5FCE15A-6DDD-4E87-B787-C617CE670B4B}"/>
    <hyperlink ref="D141" r:id="rId140" xr:uid="{8EF01C01-56C1-47A7-B695-D6F6E9F63333}"/>
    <hyperlink ref="D142" r:id="rId141" xr:uid="{98CBC0FC-D965-43D9-8643-0475CAF077D1}"/>
    <hyperlink ref="D143" r:id="rId142" xr:uid="{F46E546C-6660-4A1F-AEF4-1979257F2520}"/>
    <hyperlink ref="D144" r:id="rId143" xr:uid="{DF5B213C-CE0B-42F6-ABD3-F46CA2496F31}"/>
    <hyperlink ref="D145" r:id="rId144" xr:uid="{A1037342-4A0B-449A-9540-18D9566E3415}"/>
    <hyperlink ref="D146" r:id="rId145" xr:uid="{3DA645AE-8D1E-4BD9-8D61-AD26A7B4DE55}"/>
    <hyperlink ref="D147" r:id="rId146" xr:uid="{B60D0F21-AF63-4BD1-87CB-2F7C0FEBF3B4}"/>
    <hyperlink ref="D148" r:id="rId147" xr:uid="{63F74190-BA30-4B4E-A4F9-A8C4B9EA2774}"/>
    <hyperlink ref="D149" r:id="rId148" xr:uid="{1CE80409-A2F1-4DC9-B958-9BF98229A62D}"/>
    <hyperlink ref="D150" r:id="rId149" xr:uid="{5FCC6619-EA88-42A2-9790-7D8A8CDAA88D}"/>
    <hyperlink ref="D151" r:id="rId150" xr:uid="{7FF8FF9B-1E67-4927-B65F-241D271A2234}"/>
    <hyperlink ref="D152" r:id="rId151" xr:uid="{54CCCF3D-3320-448D-A475-20C9EA0834E6}"/>
    <hyperlink ref="D153" r:id="rId152" xr:uid="{038AAA1B-273D-4CFD-8651-BD8D58B6526A}"/>
    <hyperlink ref="D154" r:id="rId153" xr:uid="{F5E37BB4-EF95-4064-8FD0-443B71E19F41}"/>
    <hyperlink ref="D155" r:id="rId154" xr:uid="{667E4A1D-7B19-4122-BDD8-3E08918E4C0C}"/>
    <hyperlink ref="D156" r:id="rId155" xr:uid="{A7100ACC-B510-419B-8EA0-0FE1785C0A37}"/>
    <hyperlink ref="D157" r:id="rId156" xr:uid="{C2425E81-D6EF-479C-9BF7-BC27ADE7857B}"/>
    <hyperlink ref="D158" r:id="rId157" xr:uid="{79D75D16-6E3B-420D-A549-F685425C95D6}"/>
    <hyperlink ref="D159" r:id="rId158" xr:uid="{6D0CAAB1-0202-4C59-BE20-7B5C655E577C}"/>
    <hyperlink ref="D160" r:id="rId159" xr:uid="{1FB4421F-ADC3-46A6-A329-C70387A3A093}"/>
    <hyperlink ref="D161" r:id="rId160" xr:uid="{CC790541-5B45-4B97-8110-F9165F17565E}"/>
    <hyperlink ref="D162" r:id="rId161" xr:uid="{4F77C13F-F9F1-4C7A-AD08-885081DE4C1F}"/>
    <hyperlink ref="D163" r:id="rId162" xr:uid="{1603680F-B89C-477F-9742-7851EC0D2B88}"/>
    <hyperlink ref="D164" r:id="rId163" xr:uid="{7CC71D80-6DCC-4C29-AD1B-E8619AA03ED9}"/>
    <hyperlink ref="D165" r:id="rId164" xr:uid="{1D9D462E-C68A-46F3-B59A-5D67A51F79D0}"/>
    <hyperlink ref="D166" r:id="rId165" xr:uid="{6349D6BC-1E65-45F7-939A-36C767C4CC65}"/>
    <hyperlink ref="D167" r:id="rId166" xr:uid="{38E1823E-27F3-4DBB-8BEB-05AB24C826BF}"/>
    <hyperlink ref="D168" r:id="rId167" xr:uid="{F839880E-45DA-4730-AAC0-E6D826E7A8F2}"/>
    <hyperlink ref="D169" r:id="rId168" xr:uid="{0ABA8538-C3F3-4AAC-963B-C0EC08BCDCFF}"/>
    <hyperlink ref="D170" r:id="rId169" xr:uid="{B65A4097-DF76-4E4B-841C-C79C18896929}"/>
    <hyperlink ref="D171" r:id="rId170" xr:uid="{34517AC6-9E18-4A30-8403-0B3901B30A34}"/>
    <hyperlink ref="D172" r:id="rId171" xr:uid="{050ABF8B-D938-484B-ADEA-1C83C670CDB8}"/>
    <hyperlink ref="D173" r:id="rId172" xr:uid="{0135A3EE-BB4B-4B77-AE60-3F4F089C08D8}"/>
    <hyperlink ref="D174" r:id="rId173" xr:uid="{53057C5C-2B71-48A2-8805-52603E4E5078}"/>
    <hyperlink ref="D175" r:id="rId174" xr:uid="{725D2EEE-60AD-4D20-B970-7D68883A8051}"/>
    <hyperlink ref="D176" r:id="rId175" xr:uid="{AE873A04-0097-47CD-BBA5-06ED98D3FE9C}"/>
    <hyperlink ref="D177" r:id="rId176" xr:uid="{FA1D6CAF-1682-45B2-B73F-608852223F0A}"/>
    <hyperlink ref="D178" r:id="rId177" xr:uid="{6819640E-4372-4FF9-9187-C5C5A54A1960}"/>
    <hyperlink ref="D179" r:id="rId178" xr:uid="{5A122B1D-6273-46FC-ADCC-702EDBFFA51C}"/>
    <hyperlink ref="D180" r:id="rId179" xr:uid="{3349FFBA-C233-432D-9BF1-9958F7D7BAE7}"/>
    <hyperlink ref="D181" r:id="rId180" xr:uid="{26420766-CF35-4FF5-9768-2362AA0D9594}"/>
    <hyperlink ref="D182" r:id="rId181" xr:uid="{04565119-B26B-4FEA-8F49-B503F960B5D7}"/>
    <hyperlink ref="D183" r:id="rId182" xr:uid="{C635551C-6B4A-4596-A775-82A89FE0DD86}"/>
    <hyperlink ref="D184" r:id="rId183" xr:uid="{0B3809D9-8247-4EB5-AC82-03CA5562F026}"/>
    <hyperlink ref="D185" r:id="rId184" xr:uid="{A127F8F9-A5AA-4CA3-B0A2-3A573147A136}"/>
    <hyperlink ref="D186" r:id="rId185" xr:uid="{E3D169DB-2FAC-4015-A83D-37FA7AA231D9}"/>
    <hyperlink ref="D187" r:id="rId186" xr:uid="{4019D220-ED1F-4DD4-A690-11CD91D92250}"/>
    <hyperlink ref="D188" r:id="rId187" xr:uid="{646903DA-EDE4-4205-A7DD-A527A8EEB316}"/>
    <hyperlink ref="D189" r:id="rId188" xr:uid="{DA2AF030-DA7C-4B80-9F4A-B04A6BA569C0}"/>
    <hyperlink ref="D190" r:id="rId189" xr:uid="{D8B1D1E2-286B-4915-89DB-7C21EE1E9318}"/>
    <hyperlink ref="D191" r:id="rId190" xr:uid="{FD719F71-CD0B-4F59-9DC5-402435693B7B}"/>
    <hyperlink ref="D192" r:id="rId191" xr:uid="{0A59558C-CF3C-4EC9-91AF-EB5FABDB459D}"/>
    <hyperlink ref="D193" r:id="rId192" xr:uid="{4F8EDE27-B939-4B44-9A06-3BDB63465259}"/>
    <hyperlink ref="D194" r:id="rId193" xr:uid="{112E3411-C3BE-4992-9AD9-6362B4523141}"/>
    <hyperlink ref="D195" r:id="rId194" xr:uid="{5B7AF22B-5078-444B-874D-910F15AAC644}"/>
    <hyperlink ref="D196" r:id="rId195" xr:uid="{5F7F24ED-9EE3-469F-8C20-058D67926F78}"/>
    <hyperlink ref="D197" r:id="rId196" xr:uid="{081293DD-D476-41C0-B6BB-AA16E2C50E7A}"/>
    <hyperlink ref="D198" r:id="rId197" xr:uid="{838C2015-9DBE-4FA8-812C-5E335A727710}"/>
    <hyperlink ref="D199" r:id="rId198" xr:uid="{9C779DD4-1E3C-4A58-8C12-0353181AAF43}"/>
    <hyperlink ref="D200" r:id="rId199" xr:uid="{435B6E5F-9F7C-4BC9-9CA9-FC66959C3104}"/>
    <hyperlink ref="D201" r:id="rId200" xr:uid="{B5AAE389-6CEF-4EA7-8DDB-B871EDB59EE9}"/>
  </hyperlinks>
  <pageMargins left="0.7" right="0.7" top="0.75" bottom="0.75" header="0.3" footer="0.3"/>
  <tableParts count="1">
    <tablePart r:id="rId2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36B8-D3C9-475D-ADB3-985D9E7DA838}">
  <sheetPr>
    <tabColor rgb="FFFFC000"/>
  </sheetPr>
  <dimension ref="A1:E13"/>
  <sheetViews>
    <sheetView showGridLines="0" workbookViewId="0">
      <selection activeCell="E14" sqref="E14"/>
    </sheetView>
  </sheetViews>
  <sheetFormatPr defaultRowHeight="15"/>
  <cols>
    <col min="1" max="1" width="31.5703125" bestFit="1" customWidth="1"/>
    <col min="2" max="2" width="30.140625" customWidth="1"/>
    <col min="5" max="5" width="23.5703125" bestFit="1" customWidth="1"/>
  </cols>
  <sheetData>
    <row r="1" spans="1:5" ht="37.5">
      <c r="A1" s="18" t="s">
        <v>628</v>
      </c>
      <c r="B1" s="13" t="s">
        <v>575</v>
      </c>
    </row>
    <row r="2" spans="1:5" ht="18.75">
      <c r="A2" s="14" t="s">
        <v>627</v>
      </c>
      <c r="B2" s="13" t="str">
        <f>VLOOKUP($B$1,Dashboard[[Serial Number (unique identifier)]:[Warranty Expiration]],2,FALSE)</f>
        <v>Jane</v>
      </c>
    </row>
    <row r="3" spans="1:5" ht="18.75">
      <c r="A3" s="14" t="s">
        <v>626</v>
      </c>
      <c r="B3" s="13">
        <f>VLOOKUP($B$1,Dashboard[[Serial Number (unique identifier)]:[Warranty Expiration]],3,FALSE)</f>
        <v>90000112</v>
      </c>
    </row>
    <row r="4" spans="1:5" ht="18.75">
      <c r="A4" s="14" t="s">
        <v>625</v>
      </c>
      <c r="B4" s="13" t="str">
        <f>VLOOKUP($B$1,Dashboard[[Serial Number (unique identifier)]:[Warranty Expiration]],4,FALSE)</f>
        <v>example12@email.com</v>
      </c>
    </row>
    <row r="5" spans="1:5" ht="18.75">
      <c r="A5" s="14" t="s">
        <v>624</v>
      </c>
      <c r="B5" s="13" t="str">
        <f>VLOOKUP($B$1,Dashboard[[Serial Number (unique identifier)]:[Warranty Expiration]],5,FALSE)</f>
        <v>Address 000012</v>
      </c>
    </row>
    <row r="6" spans="1:5" ht="18.75">
      <c r="A6" s="14" t="s">
        <v>617</v>
      </c>
      <c r="B6" s="13" t="str">
        <f>VLOOKUP($B$1,Dashboard[[Serial Number (unique identifier)]:[Warranty Expiration]],6,FALSE)</f>
        <v>Angela</v>
      </c>
    </row>
    <row r="7" spans="1:5" ht="18.75">
      <c r="A7" s="14" t="s">
        <v>616</v>
      </c>
      <c r="B7" s="17">
        <f>VLOOKUP($B$1,Dashboard[[Serial Number (unique identifier)]:[Warranty Expiration]],7,FALSE)</f>
        <v>1</v>
      </c>
    </row>
    <row r="8" spans="1:5" ht="18.75">
      <c r="A8" s="14" t="s">
        <v>615</v>
      </c>
      <c r="B8" s="13" t="str">
        <f>VLOOKUP($B$1,Dashboard[[Serial Number (unique identifier)]:[Warranty Expiration]],8,FALSE)</f>
        <v>4X  Monocrystalline N-Type</v>
      </c>
      <c r="D8" s="31"/>
      <c r="E8" s="32" t="s">
        <v>651</v>
      </c>
    </row>
    <row r="9" spans="1:5" ht="18.75">
      <c r="A9" s="14" t="s">
        <v>614</v>
      </c>
      <c r="B9" s="13" t="str">
        <f>VLOOKUP($B$1,Dashboard[[Serial Number (unique identifier)]:[Warranty Expiration]],9,FALSE)</f>
        <v>1x 220Ah X 12V - Tubular</v>
      </c>
    </row>
    <row r="10" spans="1:5" ht="18.75">
      <c r="A10" s="14" t="s">
        <v>623</v>
      </c>
      <c r="B10" s="16">
        <f>VLOOKUP($B$1,Dashboard[[Serial Number (unique identifier)]:[Warranty Expiration]],10,FALSE)</f>
        <v>45394</v>
      </c>
    </row>
    <row r="11" spans="1:5" ht="18.75">
      <c r="A11" s="14" t="s">
        <v>612</v>
      </c>
      <c r="B11" s="15" t="str">
        <f>VLOOKUP($B$1,Dashboard[[Serial Number (unique identifier)]:[Warranty Expiration]],11,FALSE)</f>
        <v>Apr</v>
      </c>
    </row>
    <row r="12" spans="1:5" ht="18.75">
      <c r="A12" s="14" t="s">
        <v>611</v>
      </c>
      <c r="B12" s="13">
        <f>VLOOKUP($B$1,Dashboard[[Serial Number (unique identifier)]:[Warranty Expiration]],12,FALSE)</f>
        <v>11750000</v>
      </c>
    </row>
    <row r="13" spans="1:5" ht="18.75">
      <c r="A13" s="14" t="s">
        <v>610</v>
      </c>
      <c r="B13" s="13" t="str">
        <f>VLOOKUP($B$1,Dashboard[[Serial Number (unique identifier)]:[Warranty Expiration]],13,FALSE)</f>
        <v>Mobile Bank Transfer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BC72-EDDB-46D6-8BA3-B8FF833A2AB8}">
  <sheetPr>
    <tabColor rgb="FFFFC000"/>
  </sheetPr>
  <dimension ref="C13:D23"/>
  <sheetViews>
    <sheetView workbookViewId="0">
      <selection activeCell="J30" sqref="J30"/>
    </sheetView>
  </sheetViews>
  <sheetFormatPr defaultRowHeight="15"/>
  <cols>
    <col min="2" max="2" width="13.140625" bestFit="1" customWidth="1"/>
    <col min="3" max="3" width="24.28515625" bestFit="1" customWidth="1"/>
    <col min="7" max="7" width="20.7109375" bestFit="1" customWidth="1"/>
    <col min="8" max="8" width="15.28515625" bestFit="1" customWidth="1"/>
    <col min="9" max="9" width="20.140625" customWidth="1"/>
    <col min="10" max="208" width="16.28515625" bestFit="1" customWidth="1"/>
    <col min="209" max="209" width="11.28515625" bestFit="1" customWidth="1"/>
  </cols>
  <sheetData>
    <row r="13" spans="3:4">
      <c r="C13" s="19" t="s">
        <v>634</v>
      </c>
      <c r="D13" s="20">
        <f>COUNTA(Dashboard[Serial Number (unique identifier)])</f>
        <v>200</v>
      </c>
    </row>
    <row r="14" spans="3:4">
      <c r="C14" s="19" t="s">
        <v>635</v>
      </c>
      <c r="D14" s="20" t="s">
        <v>638</v>
      </c>
    </row>
    <row r="15" spans="3:4">
      <c r="C15" s="19" t="s">
        <v>636</v>
      </c>
      <c r="D15" s="20" t="str">
        <f>TEXT(DATEVALUE("1 "&amp;D14&amp;" 2024")-1,"mmm")</f>
        <v>May</v>
      </c>
    </row>
    <row r="16" spans="3:4">
      <c r="C16" s="20"/>
      <c r="D16" s="20"/>
    </row>
    <row r="17" spans="3:4">
      <c r="C17" s="19" t="s">
        <v>630</v>
      </c>
      <c r="D17" s="20">
        <f>COUNTIF(Dashboard[Installation Month],'KPI CARDS'!D14)</f>
        <v>30</v>
      </c>
    </row>
    <row r="18" spans="3:4">
      <c r="C18" s="19" t="s">
        <v>631</v>
      </c>
      <c r="D18" s="20">
        <f>COUNTIF(Dashboard[Installation Month],'KPI CARDS'!D15)</f>
        <v>31</v>
      </c>
    </row>
    <row r="19" spans="3:4">
      <c r="C19" s="19" t="s">
        <v>632</v>
      </c>
      <c r="D19" s="21">
        <f>(D17-D18)/D18</f>
        <v>-3.2258064516129031E-2</v>
      </c>
    </row>
    <row r="20" spans="3:4">
      <c r="C20" s="19" t="s">
        <v>633</v>
      </c>
      <c r="D20" s="22" t="str">
        <f>IF(D19&gt;0,"▲ "&amp;TEXT(ABS(D19),"0.0%"),IF(D19&lt;0,"▼ "&amp;TEXT(ABS(D19),"0.0%"),"— 0.0%"))</f>
        <v>▼ 3.2%</v>
      </c>
    </row>
    <row r="21" spans="3:4">
      <c r="C21" s="19" t="s">
        <v>637</v>
      </c>
      <c r="D21" s="20" t="str">
        <f>"vs "&amp;D15</f>
        <v>vs May</v>
      </c>
    </row>
    <row r="22" spans="3:4">
      <c r="C22" s="19" t="s">
        <v>639</v>
      </c>
      <c r="D22" s="25">
        <f>SUM('Solar Company Dashboard'!L2:L201)</f>
        <v>12970000000</v>
      </c>
    </row>
    <row r="23" spans="3:4">
      <c r="C23" s="19" t="s">
        <v>640</v>
      </c>
      <c r="D23" s="26">
        <f>AVERAGE('Solar Company Dashboard'!G1:G201)</f>
        <v>6.8</v>
      </c>
    </row>
  </sheetData>
  <conditionalFormatting sqref="D19">
    <cfRule type="expression" dxfId="3" priority="3">
      <formula>D19&lt;0</formula>
    </cfRule>
    <cfRule type="expression" dxfId="2" priority="9">
      <formula>D19&gt;0</formula>
    </cfRule>
  </conditionalFormatting>
  <conditionalFormatting sqref="D20">
    <cfRule type="expression" dxfId="1" priority="1">
      <formula>D19&gt;0</formula>
    </cfRule>
    <cfRule type="expression" dxfId="0" priority="2">
      <formula>D19&lt;0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DA4616-8031-465C-9C75-7C38B672A3E6}">
          <x14:formula1>
            <xm:f>'Solar Company Dashboard'!$K$2:$K$201</xm:f>
          </x14:formula1>
          <xm:sqref>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EB9D-0A12-4102-8133-78DAD1E010F5}">
  <sheetPr>
    <tabColor rgb="FFFFC000"/>
  </sheetPr>
  <dimension ref="D21:E23"/>
  <sheetViews>
    <sheetView workbookViewId="0">
      <selection activeCell="J30" sqref="J30"/>
    </sheetView>
  </sheetViews>
  <sheetFormatPr defaultRowHeight="15"/>
  <cols>
    <col min="4" max="4" width="18.28515625" customWidth="1"/>
  </cols>
  <sheetData>
    <row r="21" spans="4:5" ht="16.5">
      <c r="D21" s="27" t="s">
        <v>617</v>
      </c>
      <c r="E21" s="27" t="s">
        <v>641</v>
      </c>
    </row>
    <row r="22" spans="4:5">
      <c r="D22" s="20" t="s">
        <v>10</v>
      </c>
      <c r="E22" s="28">
        <f>COUNTIF('Solar Company Dashboard'!F2:F201,"Amos")</f>
        <v>100</v>
      </c>
    </row>
    <row r="23" spans="4:5">
      <c r="D23" s="20" t="s">
        <v>4</v>
      </c>
      <c r="E23" s="28">
        <f>COUNTIF('Solar Company Dashboard'!F1:F201,"Angela")</f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F86A-BF84-408C-96E2-B355B362C474}">
  <sheetPr>
    <tabColor rgb="FFFFC000"/>
  </sheetPr>
  <dimension ref="J21:K26"/>
  <sheetViews>
    <sheetView workbookViewId="0">
      <selection activeCell="G25" sqref="G25"/>
    </sheetView>
  </sheetViews>
  <sheetFormatPr defaultRowHeight="15"/>
  <cols>
    <col min="3" max="3" width="13.7109375" bestFit="1" customWidth="1"/>
    <col min="4" max="4" width="11" customWidth="1"/>
    <col min="10" max="10" width="13.7109375" bestFit="1" customWidth="1"/>
  </cols>
  <sheetData>
    <row r="21" spans="10:11">
      <c r="J21" t="s">
        <v>616</v>
      </c>
      <c r="K21" t="s">
        <v>641</v>
      </c>
    </row>
    <row r="22" spans="10:11">
      <c r="J22" s="24">
        <v>1</v>
      </c>
      <c r="K22">
        <f>COUNTIF('Solar Company Dashboard'!G:G,J22)</f>
        <v>33</v>
      </c>
    </row>
    <row r="23" spans="10:11">
      <c r="J23" s="24">
        <v>15</v>
      </c>
      <c r="K23">
        <f>COUNTIF('Solar Company Dashboard'!G:G,J23)</f>
        <v>39</v>
      </c>
    </row>
    <row r="24" spans="10:11">
      <c r="J24" s="24">
        <v>2</v>
      </c>
      <c r="K24">
        <f>COUNTIF('Solar Company Dashboard'!G:G,J24)</f>
        <v>41</v>
      </c>
    </row>
    <row r="25" spans="10:11">
      <c r="J25" s="24">
        <v>5</v>
      </c>
      <c r="K25">
        <f>COUNTIF('Solar Company Dashboard'!G:G,J25)</f>
        <v>42</v>
      </c>
    </row>
    <row r="26" spans="10:11">
      <c r="J26" s="24">
        <v>10</v>
      </c>
      <c r="K26">
        <f>COUNTIF('Solar Company Dashboard'!G:G,J26)</f>
        <v>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DA36-977E-424A-B7C1-8CCA0AF97537}">
  <sheetPr>
    <tabColor rgb="FFFFC000"/>
  </sheetPr>
  <dimension ref="B2:C10"/>
  <sheetViews>
    <sheetView tabSelected="1" workbookViewId="0">
      <selection activeCell="N25" sqref="N25"/>
    </sheetView>
  </sheetViews>
  <sheetFormatPr defaultRowHeight="15"/>
  <cols>
    <col min="2" max="2" width="11.28515625" bestFit="1" customWidth="1"/>
    <col min="3" max="3" width="20.140625" bestFit="1" customWidth="1"/>
  </cols>
  <sheetData>
    <row r="2" spans="2:3">
      <c r="B2" s="29" t="s">
        <v>649</v>
      </c>
      <c r="C2" t="s">
        <v>650</v>
      </c>
    </row>
    <row r="3" spans="2:3">
      <c r="B3" s="30" t="s">
        <v>642</v>
      </c>
      <c r="C3">
        <v>30</v>
      </c>
    </row>
    <row r="4" spans="2:3">
      <c r="B4" s="30" t="s">
        <v>643</v>
      </c>
      <c r="C4">
        <v>31</v>
      </c>
    </row>
    <row r="5" spans="2:3">
      <c r="B5" s="30" t="s">
        <v>638</v>
      </c>
      <c r="C5">
        <v>30</v>
      </c>
    </row>
    <row r="6" spans="2:3">
      <c r="B6" s="30" t="s">
        <v>644</v>
      </c>
      <c r="C6">
        <v>31</v>
      </c>
    </row>
    <row r="7" spans="2:3">
      <c r="B7" s="30" t="s">
        <v>645</v>
      </c>
      <c r="C7">
        <v>31</v>
      </c>
    </row>
    <row r="8" spans="2:3">
      <c r="B8" s="30" t="s">
        <v>646</v>
      </c>
      <c r="C8">
        <v>30</v>
      </c>
    </row>
    <row r="9" spans="2:3">
      <c r="B9" s="30" t="s">
        <v>647</v>
      </c>
      <c r="C9">
        <v>17</v>
      </c>
    </row>
    <row r="10" spans="2:3">
      <c r="B10" s="30" t="s">
        <v>648</v>
      </c>
      <c r="C10">
        <v>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Solar Company Dashboard</vt:lpstr>
      <vt:lpstr>VLOOKUP</vt:lpstr>
      <vt:lpstr>KPI CARDS</vt:lpstr>
      <vt:lpstr>Lead Source</vt:lpstr>
      <vt:lpstr>System Distribution</vt:lpstr>
      <vt:lpstr>Installation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 Loyce</dc:creator>
  <cp:lastModifiedBy>Chika Loyce</cp:lastModifiedBy>
  <dcterms:created xsi:type="dcterms:W3CDTF">2026-04-20T18:05:55Z</dcterms:created>
  <dcterms:modified xsi:type="dcterms:W3CDTF">2026-06-30T11:36:22Z</dcterms:modified>
</cp:coreProperties>
</file>